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ZHAIZH~1\AppData\Local\Temp\Lenovo\LenovoData3\Cache\1004302\146232488\c519e021c842419c8c73b201309b80b1\"/>
    </mc:Choice>
  </mc:AlternateContent>
  <xr:revisionPtr revIDLastSave="0" documentId="13_ncr:1_{EE82D75A-CCB1-4376-8C84-D9C0998908A8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版本管理" sheetId="1" r:id="rId1"/>
    <sheet name="BMS汇总信息（只读）" sheetId="2" r:id="rId2"/>
    <sheet name="BMU信息（只读）" sheetId="3" r:id="rId3"/>
    <sheet name="生产信息（只读）" sheetId="4" r:id="rId4"/>
    <sheet name="控制（读写）" sheetId="5" r:id="rId5"/>
    <sheet name="升级帧结构定义" sheetId="7" r:id="rId6"/>
    <sheet name="0x50升级命令" sheetId="8" r:id="rId7"/>
  </sheets>
  <calcPr calcId="181029"/>
</workbook>
</file>

<file path=xl/calcChain.xml><?xml version="1.0" encoding="utf-8"?>
<calcChain xmlns="http://schemas.openxmlformats.org/spreadsheetml/2006/main">
  <c r="A74" i="2" l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10" i="5"/>
  <c r="A9" i="5"/>
  <c r="A4" i="5"/>
  <c r="A5" i="5" s="1"/>
  <c r="A6" i="5" s="1"/>
  <c r="A7" i="5" s="1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8" i="4"/>
  <c r="A7" i="4"/>
  <c r="A6" i="4"/>
  <c r="A5" i="4"/>
  <c r="A4" i="4"/>
  <c r="A50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7" i="3"/>
  <c r="A16" i="3"/>
  <c r="A15" i="3"/>
  <c r="A14" i="3"/>
  <c r="A13" i="3"/>
  <c r="A12" i="3"/>
  <c r="A11" i="3"/>
  <c r="A10" i="3"/>
  <c r="A9" i="3"/>
  <c r="A8" i="3"/>
  <c r="A7" i="3"/>
  <c r="A6" i="3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11" i="5" l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8" i="5"/>
</calcChain>
</file>

<file path=xl/sharedStrings.xml><?xml version="1.0" encoding="utf-8"?>
<sst xmlns="http://schemas.openxmlformats.org/spreadsheetml/2006/main" count="500" uniqueCount="315">
  <si>
    <r>
      <rPr>
        <b/>
        <sz val="14"/>
        <color rgb="FF000000"/>
        <rFont val="Arial"/>
        <family val="2"/>
      </rPr>
      <t xml:space="preserve">Revision Management
</t>
    </r>
    <r>
      <rPr>
        <b/>
        <sz val="14"/>
        <color rgb="FF000000"/>
        <rFont val="宋体"/>
        <charset val="134"/>
      </rPr>
      <t>版本管理</t>
    </r>
  </si>
  <si>
    <r>
      <rPr>
        <b/>
        <i/>
        <sz val="10"/>
        <color rgb="FF000000"/>
        <rFont val="Arial"/>
        <family val="2"/>
      </rPr>
      <t xml:space="preserve">Revision
</t>
    </r>
    <r>
      <rPr>
        <b/>
        <i/>
        <sz val="10"/>
        <color rgb="FF000000"/>
        <rFont val="宋体"/>
        <charset val="134"/>
      </rPr>
      <t>版本</t>
    </r>
  </si>
  <si>
    <r>
      <rPr>
        <b/>
        <i/>
        <sz val="10"/>
        <color rgb="FF000000"/>
        <rFont val="Arial"/>
        <family val="2"/>
      </rPr>
      <t xml:space="preserve">Date
</t>
    </r>
    <r>
      <rPr>
        <b/>
        <i/>
        <sz val="10"/>
        <color rgb="FF000000"/>
        <rFont val="宋体"/>
        <charset val="134"/>
      </rPr>
      <t>日期</t>
    </r>
  </si>
  <si>
    <r>
      <rPr>
        <b/>
        <i/>
        <sz val="10"/>
        <color rgb="FF000000"/>
        <rFont val="Arial"/>
        <family val="2"/>
      </rPr>
      <t xml:space="preserve">Author
</t>
    </r>
    <r>
      <rPr>
        <b/>
        <i/>
        <sz val="10"/>
        <color rgb="FF000000"/>
        <rFont val="宋体"/>
        <charset val="134"/>
      </rPr>
      <t>作者</t>
    </r>
  </si>
  <si>
    <r>
      <rPr>
        <b/>
        <i/>
        <sz val="10"/>
        <color rgb="FF000000"/>
        <rFont val="Arial"/>
        <family val="2"/>
      </rPr>
      <t xml:space="preserve">Reviewed by
</t>
    </r>
    <r>
      <rPr>
        <b/>
        <i/>
        <sz val="10"/>
        <color rgb="FF000000"/>
        <rFont val="宋体"/>
        <charset val="134"/>
      </rPr>
      <t>审核</t>
    </r>
  </si>
  <si>
    <t>Approved by
批准</t>
  </si>
  <si>
    <r>
      <rPr>
        <b/>
        <i/>
        <sz val="10"/>
        <color rgb="FF000000"/>
        <rFont val="Arial"/>
        <family val="2"/>
      </rPr>
      <t xml:space="preserve">Changes Comments
</t>
    </r>
    <r>
      <rPr>
        <b/>
        <i/>
        <sz val="10"/>
        <color rgb="FF000000"/>
        <rFont val="宋体"/>
        <charset val="134"/>
      </rPr>
      <t>修改说明</t>
    </r>
  </si>
  <si>
    <t>V1.0</t>
  </si>
  <si>
    <t>吴晨晖</t>
  </si>
  <si>
    <t>建立初版</t>
  </si>
  <si>
    <t>BMS汇总信息（起始地址0x0000，只读）</t>
  </si>
  <si>
    <t>备注</t>
  </si>
  <si>
    <t>寄存器地址</t>
  </si>
  <si>
    <t>寄存器长度</t>
  </si>
  <si>
    <t>变量说明</t>
  </si>
  <si>
    <t>单位</t>
  </si>
  <si>
    <t>比例系数</t>
  </si>
  <si>
    <t>偏移量</t>
  </si>
  <si>
    <t>柜级</t>
  </si>
  <si>
    <t>堆级</t>
  </si>
  <si>
    <t>簇级</t>
  </si>
  <si>
    <t>簇级二级</t>
  </si>
  <si>
    <t>LC处理备注（柜级、堆级需统计后显示）</t>
  </si>
  <si>
    <t>累加内总压</t>
  </si>
  <si>
    <t>V</t>
  </si>
  <si>
    <t>√</t>
  </si>
  <si>
    <t>柜级、堆级、簇级LC转换为电池实时功率再显示；簇级额外显示电压、电流；</t>
  </si>
  <si>
    <t>总电流</t>
  </si>
  <si>
    <t>ClusterCurrent</t>
  </si>
  <si>
    <t>A</t>
  </si>
  <si>
    <t>Sys Current = （val-30000）*0.1</t>
  </si>
  <si>
    <t>SOC</t>
  </si>
  <si>
    <t>ClusterSOC</t>
  </si>
  <si>
    <t>%</t>
  </si>
  <si>
    <t>安时SOC</t>
  </si>
  <si>
    <t>仅管理员界面显示</t>
  </si>
  <si>
    <t>SOH</t>
  </si>
  <si>
    <t>允许充电电流/功率</t>
  </si>
  <si>
    <t>A/kw</t>
  </si>
  <si>
    <t>允许放电电流/功率</t>
  </si>
  <si>
    <t>系统状态</t>
  </si>
  <si>
    <t>0:静置
1:充电
2:放电
bit2：1:允许充电标志,0:禁止充电
bit3：1:允许放电标志,0:禁止放电
bit4：预留
bit5：预留
bit6：功率限制（1：当前簇请求限制功率为0，0：无限制）
bit7:允许充放电电流/功率上报方式（0：按照请求电流上报，1：按照请求功率上报）
bit8：1：无故障下电标志，0：故障下电标志</t>
  </si>
  <si>
    <t>柜级、堆级由LC计算总电流汇总后显示</t>
  </si>
  <si>
    <t>按照功率限制为0, 就会出现系统功率限制为0. 等退出以后功率才被清除,退出一会功率是否需要重新计算分配,最低可充可放功率 * 运行簇</t>
  </si>
  <si>
    <t>系统子状态</t>
  </si>
  <si>
    <t>直接显示原始值</t>
  </si>
  <si>
    <t>继电器状态</t>
  </si>
  <si>
    <r>
      <rPr>
        <sz val="12"/>
        <color rgb="FF0070C0"/>
        <rFont val="华文中宋"/>
        <charset val="134"/>
      </rPr>
      <t>bit7-预留
bit6-预留
bit5-预留</t>
    </r>
    <r>
      <rPr>
        <sz val="12"/>
        <color rgb="FF000000"/>
        <rFont val="华文中宋"/>
        <charset val="134"/>
      </rPr>
      <t xml:space="preserve">
bit4-BMU继电器
bit3-预充继电器
</t>
    </r>
    <r>
      <rPr>
        <sz val="12"/>
        <color rgb="FF0070C0"/>
        <rFont val="华文中宋"/>
        <charset val="134"/>
      </rPr>
      <t>bit2-风扇控制继电器</t>
    </r>
    <r>
      <rPr>
        <sz val="12"/>
        <color rgb="FF000000"/>
        <rFont val="华文中宋"/>
        <charset val="134"/>
      </rPr>
      <t xml:space="preserve">
</t>
    </r>
    <r>
      <rPr>
        <sz val="12"/>
        <color rgb="FF0070C0"/>
        <rFont val="华文中宋"/>
        <charset val="134"/>
      </rPr>
      <t>bit1-总正继电器
bit0-总负继电器</t>
    </r>
  </si>
  <si>
    <t>电池类型</t>
  </si>
  <si>
    <t>Type（0：未配置 1：EVE 100Ah（亿维100Ah） 
2：EVE 20Ah_2P （亿维20Ah_2P）3：EVE 280Ah （亿维280Ah）
4：EVE 100Ah_2P（亿维100Ah_2P）
5：ZENERGY 314Ah（正力314Ah）
6：ZENERGY 104Ah_2P （正力104Ah_2P）
7：GP 20Ah_2P（鹏辉20Ah_2P）
8：ZENERGY 104Ah（正力104Ah）
9：REPT 50Ah（瑞浦50Ah）
10：ZENERGY 280Ah（正力280Ah）
11：REPT 100Ah（瑞浦100Ah）
12：REPT 280Ah（瑞浦280Ah）
13：GP 20Ah（鹏辉20Ah）
14：REPT 314Ah（瑞浦314Ah）
15：EVE 314Ah（亿维314Ah）
16：GP 280Ah（鹏辉280Ah）
17：BYD FD100Ah（弗迪100Ah）
18：GP 314Ah（鹏辉314Ah）
19：GP 100Ah_2P（鹏辉100Ah_2P））</t>
  </si>
  <si>
    <t>Bat总压</t>
  </si>
  <si>
    <t>Fuse总压</t>
  </si>
  <si>
    <t>外总压</t>
  </si>
  <si>
    <t>加热总压</t>
  </si>
  <si>
    <t>簇内PACK个数</t>
  </si>
  <si>
    <t>单Pack温度采集个数</t>
  </si>
  <si>
    <t>单Pack电压采集个数</t>
  </si>
  <si>
    <t>最高电芯电压</t>
  </si>
  <si>
    <t>最高电压电芯所在Pack号</t>
  </si>
  <si>
    <t>最高电压电芯位置</t>
  </si>
  <si>
    <t>最低电芯电压</t>
  </si>
  <si>
    <t>最低电压电芯所在Pack号</t>
  </si>
  <si>
    <t>最低电压电芯位置</t>
  </si>
  <si>
    <t>系统压差</t>
  </si>
  <si>
    <t>最高Pack电压</t>
  </si>
  <si>
    <t>最高电压Pack号</t>
  </si>
  <si>
    <t>最低Pack电压</t>
  </si>
  <si>
    <t>最低电压Pack号</t>
  </si>
  <si>
    <t>最高电芯温度</t>
  </si>
  <si>
    <t>℃</t>
  </si>
  <si>
    <t>E=N*0.1-40</t>
  </si>
  <si>
    <t>最高温度电芯所在Pack号</t>
  </si>
  <si>
    <t>最高温度电芯位置</t>
  </si>
  <si>
    <t>预留</t>
  </si>
  <si>
    <t>最低电芯温度</t>
  </si>
  <si>
    <t>最低温度电芯所在Pack号</t>
  </si>
  <si>
    <t>最低温度电芯位置</t>
  </si>
  <si>
    <t>电芯温差</t>
  </si>
  <si>
    <t>E=N*0.1</t>
  </si>
  <si>
    <t>P+连接器温度</t>
  </si>
  <si>
    <t>P-连接器温度</t>
  </si>
  <si>
    <t>B+连接器温度</t>
  </si>
  <si>
    <t>B-连接器温度</t>
  </si>
  <si>
    <t>Pack正连接器最高温度</t>
  </si>
  <si>
    <t>最高温度正连接器所在Pack号</t>
  </si>
  <si>
    <t>Pack负连接器最高温度</t>
  </si>
  <si>
    <t>最高温度负连接器所在Pack号</t>
  </si>
  <si>
    <t>Pack正连接器最低温度</t>
  </si>
  <si>
    <t>最低温度正连接器所在Pack号</t>
  </si>
  <si>
    <t>Pack负连接器最低温度</t>
  </si>
  <si>
    <t>最低温度负连接器所在Pack号</t>
  </si>
  <si>
    <t>预充电阻温度</t>
  </si>
  <si>
    <t>累积充电电量（高双字节）</t>
  </si>
  <si>
    <t>kWh</t>
  </si>
  <si>
    <t>LC累加后在柜级、堆级显示</t>
  </si>
  <si>
    <t>累积充电电量（低双字节）</t>
  </si>
  <si>
    <t>累积放电电量（高双字节）</t>
  </si>
  <si>
    <t>累积放电电量（低双字节）</t>
  </si>
  <si>
    <t>系统绝缘值</t>
  </si>
  <si>
    <t>kΩ</t>
  </si>
  <si>
    <t>漏电位置电压</t>
  </si>
  <si>
    <t>N端对地绝缘值</t>
  </si>
  <si>
    <t>P端对地绝缘值</t>
  </si>
  <si>
    <t>充电截止电压（3.6*个数）</t>
  </si>
  <si>
    <t>放电截止电压（2.6*个数）</t>
  </si>
  <si>
    <t>额定容量</t>
  </si>
  <si>
    <t>Ah</t>
  </si>
  <si>
    <t>实际容量</t>
  </si>
  <si>
    <t>剩余容量</t>
  </si>
  <si>
    <t>乘额定电压和SOC，转换为剩余电量来显示；</t>
  </si>
  <si>
    <t>循环次数</t>
  </si>
  <si>
    <t>当前簇功率</t>
  </si>
  <si>
    <t>kW</t>
  </si>
  <si>
    <t>计算公式, (N-30000)*0.01</t>
  </si>
  <si>
    <t>额定电压</t>
  </si>
  <si>
    <t>电芯平均温度</t>
  </si>
  <si>
    <t>可放(剩余)能量</t>
  </si>
  <si>
    <t>可充能量</t>
  </si>
  <si>
    <t>最大允许放电功率</t>
  </si>
  <si>
    <t>最大允许充电功率</t>
  </si>
  <si>
    <t>系统故障等级</t>
  </si>
  <si>
    <t>0：正常，1：告警，2：故障，3：严重故障</t>
  </si>
  <si>
    <t>告警信息1</t>
  </si>
  <si>
    <r>
      <rPr>
        <sz val="12"/>
        <color rgb="FF000000"/>
        <rFont val="华文中宋"/>
        <charset val="134"/>
      </rPr>
      <t xml:space="preserve">bit0：充电过流告警
bit1：放电过流告警
bit2：充电过温告警
bit3：放电过温告警
bit4：充电低温告警
bit5：放电低温告警
bit6：压差过大告警
bit7：温差过大告警
bit8：单体过压告警
bit9：单体欠压告警
bit10：总压过压告警
bit11：总压欠压告警
</t>
    </r>
    <r>
      <rPr>
        <sz val="12"/>
        <color rgb="FF0070C0"/>
        <rFont val="华文中宋"/>
        <charset val="134"/>
      </rPr>
      <t>bit12：预留
bit13：预留
bit14：预留
bit15：预留</t>
    </r>
  </si>
  <si>
    <t>告警信息2</t>
  </si>
  <si>
    <r>
      <rPr>
        <sz val="12"/>
        <color rgb="FF0070C0"/>
        <rFont val="华文中宋"/>
        <charset val="134"/>
      </rPr>
      <t>bit0：预留</t>
    </r>
    <r>
      <rPr>
        <sz val="12"/>
        <color rgb="FF000000"/>
        <rFont val="华文中宋"/>
        <charset val="134"/>
      </rPr>
      <t xml:space="preserve">
bit1：预充电阻温度过高告警
bit2：绝缘告警
</t>
    </r>
    <r>
      <rPr>
        <sz val="12"/>
        <color rgb="FF0070C0"/>
        <rFont val="华文中宋"/>
        <charset val="134"/>
      </rPr>
      <t>bit3：预留</t>
    </r>
    <r>
      <rPr>
        <sz val="12"/>
        <color rgb="FF000000"/>
        <rFont val="华文中宋"/>
        <charset val="134"/>
      </rPr>
      <t xml:space="preserve">
bit4：BMS接插件过温告警
bit5：BMU接插件过温告警
</t>
    </r>
    <r>
      <rPr>
        <sz val="12"/>
        <color rgb="FF0070C0"/>
        <rFont val="华文中宋"/>
        <charset val="134"/>
      </rPr>
      <t>bit6：预留</t>
    </r>
    <r>
      <rPr>
        <sz val="12"/>
        <color rgb="FF000000"/>
        <rFont val="华文中宋"/>
        <charset val="134"/>
      </rPr>
      <t xml:space="preserve">
</t>
    </r>
    <r>
      <rPr>
        <sz val="12"/>
        <color rgb="FF0070C0"/>
        <rFont val="华文中宋"/>
        <charset val="134"/>
      </rPr>
      <t>bit7：总负继电器驱动失败告警</t>
    </r>
    <r>
      <rPr>
        <sz val="12"/>
        <color rgb="FF000000"/>
        <rFont val="华文中宋"/>
        <charset val="134"/>
      </rPr>
      <t xml:space="preserve">
</t>
    </r>
    <r>
      <rPr>
        <sz val="12"/>
        <color rgb="FF0070C0"/>
        <rFont val="华文中宋"/>
        <charset val="134"/>
      </rPr>
      <t>bit8：总正继电器驱动失败告警</t>
    </r>
    <r>
      <rPr>
        <sz val="12"/>
        <color rgb="FF000000"/>
        <rFont val="华文中宋"/>
        <charset val="134"/>
      </rPr>
      <t xml:space="preserve">
</t>
    </r>
    <r>
      <rPr>
        <sz val="12"/>
        <color rgb="FF0070C0"/>
        <rFont val="华文中宋"/>
        <charset val="134"/>
      </rPr>
      <t>bit9：预留</t>
    </r>
    <r>
      <rPr>
        <sz val="12"/>
        <color rgb="FF000000"/>
        <rFont val="华文中宋"/>
        <charset val="134"/>
      </rPr>
      <t xml:space="preserve">
bit10：RTC时钟告警
bit11：BMU软件版本差异告警
</t>
    </r>
    <r>
      <rPr>
        <sz val="12"/>
        <rFont val="华文中宋"/>
        <charset val="134"/>
      </rPr>
      <t>bit12：BA通信失败丢失
bit13：TCP连接失败
bit14：W5500SPI通讯失败</t>
    </r>
    <r>
      <rPr>
        <sz val="12"/>
        <color rgb="FFFF0000"/>
        <rFont val="华文中宋"/>
        <charset val="134"/>
      </rPr>
      <t xml:space="preserve">
</t>
    </r>
  </si>
  <si>
    <t>柜级、堆级显示有无故障标识；簇级显示具体故障；</t>
  </si>
  <si>
    <t>故障信息1</t>
  </si>
  <si>
    <r>
      <rPr>
        <sz val="12"/>
        <color rgb="FF000000"/>
        <rFont val="华文中宋"/>
        <charset val="134"/>
      </rPr>
      <t xml:space="preserve">bit0：充电过流故障
bit1：放电过流故障
bit2：充电过温故障
bit3：放电过温故障
bit4：充电低温故障
bit5：放电低温故障
bit6：压差过大故障
bit7：温差过大故障
bit8：单体过压故障
bit9：单体欠压故障
bit10：总压过压故障
bit11：总压欠压故障
</t>
    </r>
    <r>
      <rPr>
        <sz val="12"/>
        <color rgb="FF0070C0"/>
        <rFont val="华文中宋"/>
        <charset val="134"/>
      </rPr>
      <t>bit12：预留
bit13：预留
bit14：预留
bit15：预留</t>
    </r>
  </si>
  <si>
    <t>故障信息2</t>
  </si>
  <si>
    <r>
      <rPr>
        <sz val="12"/>
        <color rgb="FF0070C0"/>
        <rFont val="华文中宋"/>
        <charset val="134"/>
      </rPr>
      <t>bit0：预留</t>
    </r>
    <r>
      <rPr>
        <sz val="12"/>
        <color rgb="FF000000"/>
        <rFont val="华文中宋"/>
        <charset val="134"/>
      </rPr>
      <t xml:space="preserve">
bit1：预充电阻温度过高故障
bit2：绝缘故障
</t>
    </r>
    <r>
      <rPr>
        <sz val="12"/>
        <color rgb="FF0070C0"/>
        <rFont val="华文中宋"/>
        <charset val="134"/>
      </rPr>
      <t>bit3：预留</t>
    </r>
    <r>
      <rPr>
        <sz val="12"/>
        <color rgb="FF000000"/>
        <rFont val="华文中宋"/>
        <charset val="134"/>
      </rPr>
      <t xml:space="preserve">
bit4：BMS接插件过温故障
bit5：BMU接插件过温故障
</t>
    </r>
    <r>
      <rPr>
        <sz val="12"/>
        <color rgb="FF0070C0"/>
        <rFont val="华文中宋"/>
        <charset val="134"/>
      </rPr>
      <t>bit6：BMU保险丝过温故障</t>
    </r>
    <r>
      <rPr>
        <sz val="12"/>
        <color rgb="FF000000"/>
        <rFont val="华文中宋"/>
        <charset val="134"/>
      </rPr>
      <t xml:space="preserve">
</t>
    </r>
    <r>
      <rPr>
        <sz val="12"/>
        <color rgb="FF0070C0"/>
        <rFont val="华文中宋"/>
        <charset val="134"/>
      </rPr>
      <t>bit7：总负继电器粘连故障
bit8：总正继电器粘连故障</t>
    </r>
    <r>
      <rPr>
        <sz val="12"/>
        <color rgb="FF000000"/>
        <rFont val="华文中宋"/>
        <charset val="134"/>
      </rPr>
      <t xml:space="preserve">
</t>
    </r>
    <r>
      <rPr>
        <sz val="12"/>
        <color rgb="FF0070C0"/>
        <rFont val="华文中宋"/>
        <charset val="134"/>
      </rPr>
      <t>bit9：预留</t>
    </r>
    <r>
      <rPr>
        <sz val="12"/>
        <color rgb="FF000000"/>
        <rFont val="华文中宋"/>
        <charset val="134"/>
      </rPr>
      <t xml:space="preserve">
bit10：极限保护
bit11：BMS供电电压异常故障
bit12：保险丝熔断故障
bit13：BMU地址重复故障
bit14：BMS地址重复故障
bit15：内CAN通信失败故障</t>
    </r>
  </si>
  <si>
    <t>故障信息3</t>
  </si>
  <si>
    <r>
      <rPr>
        <sz val="12"/>
        <color rgb="FF000000"/>
        <rFont val="华文中宋"/>
        <charset val="134"/>
      </rPr>
      <t xml:space="preserve">bit0：PCS CAN通讯失败故障
bit1：保险丝总压采集异常故障
bit2：内总压采集异常故障
bit3：加热总压采集异常故障
bit4：外总压采集异常故障
bit5：电压采集故障
bit6：温度采集故障
bit7：电流采集故障
bit8：电流模块故障
bit9：EEPROM存储故障
bit10：预充失败故障
bit11：BMU电芯类型不匹配故障
bit12：BMU个数异常故障
bit13：BMS接插件温度采集断线故障
bit14：BMU接插件温度采集断线故障
</t>
    </r>
    <r>
      <rPr>
        <sz val="12"/>
        <color rgb="FF0070C0"/>
        <rFont val="华文中宋"/>
        <charset val="134"/>
      </rPr>
      <t>bit15：BMU保险丝温度采集断线故障</t>
    </r>
  </si>
  <si>
    <t>故障信息4</t>
  </si>
  <si>
    <t>bit0：簇间压差过大故障
bit1：电芯异常故障
bit2：系统开机自检完成（1）/系统开机自检中（0）
bit3：系统开机绝缘自检完成（1）/系统开机绝缘自检中（0）bit4：系统并机完成（1）/系统并机未完成（0）
bit5：BA控制BMS下电故障
bit6：BA控制BMS紧急下电故障
bit7：断路器脱扣故障
bit8~15：预留</t>
  </si>
  <si>
    <t>电压异常</t>
  </si>
  <si>
    <t>BMU AFE通讯失败故障汇总</t>
  </si>
  <si>
    <t>bit0:1#BMU AFE故障
bit1:2#BMU AFE故障
......
bit15:16#BMU AFE故障</t>
  </si>
  <si>
    <t>BMU热失控故障汇总</t>
  </si>
  <si>
    <t>bit0:1#BMU热失控故障
bit1:2#BMU热失控故障
......
bit15:16#BMU热失控故障</t>
  </si>
  <si>
    <t>BMU通讯失败故障汇总</t>
  </si>
  <si>
    <t>bit0:1#BMU通讯状态（0通讯正常，1通讯丢失）
bit1:2#BMU通讯状态
......
bit15:16#BMU通讯状态</t>
  </si>
  <si>
    <t>BMU气溶胶喷发故障汇总</t>
  </si>
  <si>
    <t>bit0:1#BMU气溶胶喷发
bit1:2#BMU气溶胶喷发
......
bit15:16#BMU气溶胶喷发</t>
  </si>
  <si>
    <t>BMU信息(1#起始地址0x1000，2#起始地址为0x1200，以此类推，最多16个BMU到0x2F00，只读)</t>
  </si>
  <si>
    <t>数据起始地址</t>
  </si>
  <si>
    <t>寄存器个数</t>
  </si>
  <si>
    <t>计算公式</t>
  </si>
  <si>
    <t>1#BMU数据</t>
  </si>
  <si>
    <t>单体数据</t>
  </si>
  <si>
    <t>电芯1~104电压（V）</t>
  </si>
  <si>
    <t>E=N*0.001</t>
  </si>
  <si>
    <t>均衡状态（1~16）</t>
  </si>
  <si>
    <t>bit0~bit15：电芯1~16的均衡状态：0未开启均衡，1已开启均衡</t>
  </si>
  <si>
    <t>均衡状态（17~32）</t>
  </si>
  <si>
    <t>均衡状态（33~48）</t>
  </si>
  <si>
    <t>均衡状态（49~64）</t>
  </si>
  <si>
    <t>均衡状态（65~80）</t>
  </si>
  <si>
    <t>均衡状态（81~96）</t>
  </si>
  <si>
    <t>均衡状态（97~112）</t>
  </si>
  <si>
    <t>电芯1~40温度（℃）</t>
  </si>
  <si>
    <t>汇总数据</t>
  </si>
  <si>
    <t>单包最高单体电压（V）</t>
  </si>
  <si>
    <t>单包最高单体电压位置</t>
  </si>
  <si>
    <t>单包最低单体电压（V）</t>
  </si>
  <si>
    <t>单包最低单体电压位置</t>
  </si>
  <si>
    <t>单包最大压差（V）</t>
  </si>
  <si>
    <t>单包最高单体温度（℃）</t>
  </si>
  <si>
    <t>单包最高单体温度位置</t>
  </si>
  <si>
    <t>单包最低单体温度（℃）</t>
  </si>
  <si>
    <t>单包最低单体温度位置</t>
  </si>
  <si>
    <t>单包电芯温差（℃）</t>
  </si>
  <si>
    <t>电池包正接插件温度（℃）</t>
  </si>
  <si>
    <t>E=N*1-40</t>
  </si>
  <si>
    <t>电池包负接插件温度（℃）</t>
  </si>
  <si>
    <t>单包总压（V）</t>
  </si>
  <si>
    <t>单包供电电压（V）</t>
  </si>
  <si>
    <t>电芯类型</t>
  </si>
  <si>
    <t xml:space="preserve"> </t>
  </si>
  <si>
    <t>bit0~bit15：电芯1~16的异常状态：0电芯无异常，1电芯异常</t>
  </si>
  <si>
    <t>BMU保险丝温度</t>
  </si>
  <si>
    <t>PACK均衡状态</t>
  </si>
  <si>
    <t>0：未开启均衡；1：充电均衡；2：放电均衡</t>
  </si>
  <si>
    <t>2#BMU数据</t>
  </si>
  <si>
    <t>生产信息（BMS生产信息起始地址0x3000,BMU生产信息起始地址0x3100，只读）</t>
  </si>
  <si>
    <t>BMS生产信息</t>
  </si>
  <si>
    <t>高压盒SN</t>
  </si>
  <si>
    <t>1个寄存器存放2字节16进制数据，转化为ASCII码显示</t>
  </si>
  <si>
    <t>BMS SN</t>
  </si>
  <si>
    <t>BMS 软件版本号</t>
  </si>
  <si>
    <t>BMS 硬件版本号</t>
  </si>
  <si>
    <t>预留（可存放外设版本号）</t>
  </si>
  <si>
    <t>BMU生产信息</t>
  </si>
  <si>
    <t>1#BMU SN</t>
  </si>
  <si>
    <t>2#BMU SN</t>
  </si>
  <si>
    <t>3#BMU SN</t>
  </si>
  <si>
    <t>4#BMU SN</t>
  </si>
  <si>
    <t>5#BMU SN</t>
  </si>
  <si>
    <t>6#BMU SN</t>
  </si>
  <si>
    <t>7#BMU SN</t>
  </si>
  <si>
    <t>8#BMU SN</t>
  </si>
  <si>
    <t>9#BMU SN</t>
  </si>
  <si>
    <t>10#BMU SN</t>
  </si>
  <si>
    <t>11#BMU SN</t>
  </si>
  <si>
    <t>12#BMU SN</t>
  </si>
  <si>
    <t>13#BMU SN</t>
  </si>
  <si>
    <t>14#BMU SN</t>
  </si>
  <si>
    <t>15#BMU SN</t>
  </si>
  <si>
    <t>16#BMU SN</t>
  </si>
  <si>
    <t>1#BMU 软件版本号</t>
  </si>
  <si>
    <t>2#BMU 软件版本号</t>
  </si>
  <si>
    <t>3#BMU 软件版本号</t>
  </si>
  <si>
    <t>4#BMU 软件版本号</t>
  </si>
  <si>
    <t>5#BMU 软件版本号</t>
  </si>
  <si>
    <t>6#BMU 软件版本号</t>
  </si>
  <si>
    <t>7#BMU 软件版本号</t>
  </si>
  <si>
    <t>8#BMU 软件版本号</t>
  </si>
  <si>
    <t>9#BMU 软件版本号</t>
  </si>
  <si>
    <t>10#BMU 软件版本号</t>
  </si>
  <si>
    <t>11#BMU 软件版本号</t>
  </si>
  <si>
    <t>12#BMU 软件版本号</t>
  </si>
  <si>
    <t>13#BMU 软件版本号</t>
  </si>
  <si>
    <t>14#BMU 软件版本号</t>
  </si>
  <si>
    <t>15#BMU 软件版本号</t>
  </si>
  <si>
    <t>16#BMU 软件版本号</t>
  </si>
  <si>
    <t>1#BMU 硬件版本号</t>
  </si>
  <si>
    <t>2#BMU 硬件版本号</t>
  </si>
  <si>
    <t>3#BMU 硬件版本号</t>
  </si>
  <si>
    <t>4#BMU 硬件版本号</t>
  </si>
  <si>
    <t>5#BMU 硬件版本号</t>
  </si>
  <si>
    <t>6#BMU 硬件版本号</t>
  </si>
  <si>
    <t>7#BMU 硬件版本号</t>
  </si>
  <si>
    <t>8#BMU 硬件版本号</t>
  </si>
  <si>
    <t>9#BMU 硬件版本号</t>
  </si>
  <si>
    <t>10#BMU 硬件版本号</t>
  </si>
  <si>
    <t>11#BMU 硬件版本号</t>
  </si>
  <si>
    <t>12#BMU 硬件版本号</t>
  </si>
  <si>
    <t>13#BMU 硬件版本号</t>
  </si>
  <si>
    <t>14#BMU 硬件版本号</t>
  </si>
  <si>
    <t>15#BMU 硬件版本号</t>
  </si>
  <si>
    <t>16#BMU 硬件版本号</t>
  </si>
  <si>
    <t>控制（BMS生产信息起始地址0x5000，读写）</t>
  </si>
  <si>
    <t>说明</t>
  </si>
  <si>
    <t>高压盒下电</t>
  </si>
  <si>
    <t>默认0，1：控制断开；0：BMS自行控制</t>
  </si>
  <si>
    <t>高压盒紧急下电</t>
  </si>
  <si>
    <t>BMS故障清除</t>
  </si>
  <si>
    <t>默认0，1：清除一次当前故障；</t>
  </si>
  <si>
    <t>BA当前状态</t>
  </si>
  <si>
    <t>bit0~1系统充放电状态：0x00,静置模式
0x01,充电模式
0x02,放电模式
bit8~9计划充放电状态：0x00,静置模式
0x01,充电模式
0x02,放电模式
bit10：低温离网黑启动模式：1：当前需要执行黑启动逻辑
0：当前无需执行黑启动逻辑</t>
  </si>
  <si>
    <t>堆SOC</t>
  </si>
  <si>
    <t>bit15:0（无效），1（值有效）
bit14~0：堆SOC，unit：0.1%（0~1000）</t>
  </si>
  <si>
    <t>MAC地址（1）</t>
  </si>
  <si>
    <t>默认使用全球唯一mac地址，只读</t>
  </si>
  <si>
    <t>MAC地址（2）</t>
  </si>
  <si>
    <t>MAC地址（3）</t>
  </si>
  <si>
    <t>MAC地址（4）</t>
  </si>
  <si>
    <t>MAC地址（5）</t>
  </si>
  <si>
    <t>MAC地址（6）</t>
  </si>
  <si>
    <t>ip地址（1）</t>
  </si>
  <si>
    <t>默认172</t>
  </si>
  <si>
    <t>仅主机可设置，从机根据自动编址设置；
若需要修改则需要一条设置命令，设置所有和网络连接相关的寄存器</t>
  </si>
  <si>
    <t>ip地址（2）</t>
  </si>
  <si>
    <t>默认168</t>
  </si>
  <si>
    <t>ip地址（3）</t>
  </si>
  <si>
    <t>默认1</t>
  </si>
  <si>
    <t>ip地址（4）</t>
  </si>
  <si>
    <t>默认101</t>
  </si>
  <si>
    <t>子网掩码（1）</t>
  </si>
  <si>
    <t>默认255</t>
  </si>
  <si>
    <t>子网掩码（2）</t>
  </si>
  <si>
    <t>子网掩码（3）</t>
  </si>
  <si>
    <t>子网掩码（4）</t>
  </si>
  <si>
    <t>网关（1）</t>
  </si>
  <si>
    <t>网关（2）</t>
  </si>
  <si>
    <t>网关（3）</t>
  </si>
  <si>
    <t>网关（4）</t>
  </si>
  <si>
    <t>MODBUS TCP设备地址</t>
  </si>
  <si>
    <t>默认1,可设置1~247</t>
  </si>
  <si>
    <t>端口号</t>
  </si>
  <si>
    <t>默认502</t>
  </si>
  <si>
    <t>帧结构定义</t>
  </si>
  <si>
    <t>含义</t>
  </si>
  <si>
    <t>帧头</t>
  </si>
  <si>
    <t>BMS地址</t>
  </si>
  <si>
    <t>命令</t>
  </si>
  <si>
    <t>数据长度</t>
  </si>
  <si>
    <t>数据</t>
  </si>
  <si>
    <t>CRC16校验</t>
  </si>
  <si>
    <t>帧尾</t>
  </si>
  <si>
    <t>字节</t>
  </si>
  <si>
    <t>0xAA</t>
  </si>
  <si>
    <t>0X55</t>
  </si>
  <si>
    <t>1 byte</t>
  </si>
  <si>
    <t>2btye</t>
  </si>
  <si>
    <t>m bytes
(m=0~1452bytes)</t>
  </si>
  <si>
    <t>0x0D</t>
  </si>
  <si>
    <t>0x0A</t>
  </si>
  <si>
    <t>2 bytes</t>
  </si>
  <si>
    <r>
      <rPr>
        <b/>
        <sz val="11"/>
        <color rgb="FF000000"/>
        <rFont val="宋体"/>
        <charset val="134"/>
      </rPr>
      <t>注：1.BMS地址；
1.帧头：占2个字节，由0xAA和0x55组成；
2.BMS地址：占1个字节，为被BMS IP地址的最后8位；
3.命令：占1个字节，说明帧的用途；
4.数据长度：占1个字节，描述要传输的数据字节量，值为0时表示没有数据内容；
5.数据：占0到1452个字节，数据的具体内容；
6.帧尾：占2个字节，由0x0D和0x0A组成；
7.帧尾后面添加CRC16校验，由2字节组成，检验仅对数据段进行校验,升级不进行校验
8.对于双字节数据，高字节在前，低字节在后；
9.数据如果没有指定说明，默认为十六进制（HEX）无符号格式。unsigned char 一字节；  unsigned short 两字节、unsigned long 四字节；
10.0x50升级命令，文件格式固定为bin文件；
BMS个数</t>
    </r>
    <r>
      <rPr>
        <sz val="11"/>
        <color rgb="FF000000"/>
        <rFont val="宋体"/>
        <charset val="134"/>
      </rPr>
      <t>由配置中的</t>
    </r>
    <r>
      <rPr>
        <b/>
        <sz val="11"/>
        <color rgb="FF000000"/>
        <rFont val="宋体"/>
        <charset val="134"/>
      </rPr>
      <t>电池堆个数*堆内簇数</t>
    </r>
    <r>
      <rPr>
        <sz val="11"/>
        <color rgb="FF000000"/>
        <rFont val="宋体"/>
        <charset val="134"/>
      </rPr>
      <t>计算所得</t>
    </r>
    <r>
      <rPr>
        <b/>
        <sz val="11"/>
        <color rgb="FF000000"/>
        <rFont val="宋体"/>
        <charset val="134"/>
      </rPr>
      <t>；</t>
    </r>
  </si>
  <si>
    <t>0x50 升级命令</t>
  </si>
  <si>
    <t>注：升级命令数据长度为0到255个字节，数据的具体内容见数据描述；</t>
  </si>
  <si>
    <t>读写</t>
  </si>
  <si>
    <r>
      <rPr>
        <b/>
        <sz val="12"/>
        <color rgb="FF000000"/>
        <rFont val="宋体"/>
        <charset val="134"/>
      </rPr>
      <t>上</t>
    </r>
    <r>
      <rPr>
        <b/>
        <sz val="12"/>
        <color rgb="FF000000"/>
        <rFont val="Calibri"/>
        <family val="2"/>
      </rPr>
      <t>/</t>
    </r>
    <r>
      <rPr>
        <b/>
        <sz val="12"/>
        <color rgb="FF000000"/>
        <rFont val="宋体"/>
        <charset val="134"/>
      </rPr>
      <t>下行</t>
    </r>
  </si>
  <si>
    <t>数据描述</t>
  </si>
  <si>
    <t>0x50</t>
  </si>
  <si>
    <t>写</t>
  </si>
  <si>
    <t>下行</t>
  </si>
  <si>
    <t>&lt;=252</t>
  </si>
  <si>
    <r>
      <rPr>
        <sz val="12"/>
        <color rgb="FF000000"/>
        <rFont val="宋体"/>
        <charset val="134"/>
      </rPr>
      <t xml:space="preserve">Byte0、Byte1:升级包类型
      0x0001 升级请求(需要等待应答，并校验Boot版本信息)
      0x0002 升级准备
      0x0003 起始包
      0x0004 中间包
      0x0005 结束包
      0x0006 固件文件完整性校验包
Byte2:  升级包计数器高位；
Byte3:  升级包计数器低位；
Byte4~ Byte251：数据(固件数据或CRC-16/XMODEM校验码)；
</t>
    </r>
    <r>
      <rPr>
        <sz val="12"/>
        <color rgb="FFFF0000"/>
        <rFont val="宋体"/>
        <charset val="134"/>
      </rPr>
      <t>Byte0、Byte1:升级包类型
      0x0007 BMU升级反馈
Byte2、Byte3：BMU升级状态（bit0 1：1#bmu升级成功 0：1#bmu升级失败 ...... bit15 1：16#bmu升级成功 0：:6#bmu升级失败）</t>
    </r>
  </si>
  <si>
    <t>上行</t>
  </si>
  <si>
    <r>
      <rPr>
        <sz val="12"/>
        <color rgb="FF000000"/>
        <rFont val="宋体"/>
        <charset val="134"/>
      </rPr>
      <t>升级包类型为</t>
    </r>
    <r>
      <rPr>
        <sz val="12"/>
        <color rgb="FF000000"/>
        <rFont val="Calibri"/>
        <family val="2"/>
      </rPr>
      <t>0x0001</t>
    </r>
    <r>
      <rPr>
        <sz val="12"/>
        <color rgb="FF000000"/>
        <rFont val="宋体"/>
        <charset val="134"/>
      </rPr>
      <t>时，回复</t>
    </r>
    <r>
      <rPr>
        <sz val="12"/>
        <color rgb="FF000000"/>
        <rFont val="Calibri"/>
        <family val="2"/>
      </rPr>
      <t>Boot</t>
    </r>
    <r>
      <rPr>
        <sz val="12"/>
        <color rgb="FF000000"/>
        <rFont val="宋体"/>
        <charset val="134"/>
      </rPr>
      <t>版本信息，长度</t>
    </r>
    <r>
      <rPr>
        <sz val="12"/>
        <color rgb="FF000000"/>
        <rFont val="Calibri"/>
        <family val="2"/>
      </rPr>
      <t>5</t>
    </r>
    <r>
      <rPr>
        <sz val="12"/>
        <color rgb="FF000000"/>
        <rFont val="宋体"/>
        <charset val="134"/>
      </rPr>
      <t>字节</t>
    </r>
    <r>
      <rPr>
        <sz val="12"/>
        <color rgb="FF000000"/>
        <rFont val="Calibri"/>
        <family val="2"/>
      </rPr>
      <t>(</t>
    </r>
    <r>
      <rPr>
        <sz val="12"/>
        <color rgb="FF000000"/>
        <rFont val="宋体"/>
        <charset val="134"/>
      </rPr>
      <t>上位机读取</t>
    </r>
    <r>
      <rPr>
        <sz val="12"/>
        <color rgb="FF000000"/>
        <rFont val="Calibri"/>
        <family val="2"/>
      </rPr>
      <t>bin</t>
    </r>
    <r>
      <rPr>
        <sz val="12"/>
        <color rgb="FF000000"/>
        <rFont val="宋体"/>
        <charset val="134"/>
      </rPr>
      <t>文件时提取前</t>
    </r>
    <r>
      <rPr>
        <sz val="12"/>
        <color rgb="FF000000"/>
        <rFont val="Calibri"/>
        <family val="2"/>
      </rPr>
      <t>5</t>
    </r>
    <r>
      <rPr>
        <sz val="12"/>
        <color rgb="FF000000"/>
        <rFont val="宋体"/>
        <charset val="134"/>
      </rPr>
      <t>字节与</t>
    </r>
    <r>
      <rPr>
        <sz val="12"/>
        <color rgb="FF000000"/>
        <rFont val="Calibri"/>
        <family val="2"/>
      </rPr>
      <t>BMS</t>
    </r>
    <r>
      <rPr>
        <sz val="12"/>
        <color rgb="FF000000"/>
        <rFont val="宋体"/>
        <charset val="134"/>
      </rPr>
      <t>恢复的版本信息进行比对，一致才允许升级</t>
    </r>
    <r>
      <rPr>
        <sz val="12"/>
        <color rgb="FF000000"/>
        <rFont val="Calibri"/>
        <family val="2"/>
      </rPr>
      <t>)</t>
    </r>
  </si>
  <si>
    <r>
      <rPr>
        <sz val="12"/>
        <color rgb="FF000000"/>
        <rFont val="宋体"/>
        <charset val="134"/>
      </rPr>
      <t>升级包类型为</t>
    </r>
    <r>
      <rPr>
        <sz val="12"/>
        <color rgb="FF000000"/>
        <rFont val="Calibri"/>
        <family val="2"/>
      </rPr>
      <t xml:space="preserve">0x0002 ~ 0x0006 </t>
    </r>
    <r>
      <rPr>
        <sz val="12"/>
        <color rgb="FF000000"/>
        <rFont val="宋体"/>
        <charset val="134"/>
      </rPr>
      <t>回复升级固件</t>
    </r>
  </si>
  <si>
    <t>0: 无需脱离;
1: 该簇脱离;</t>
    <phoneticPr fontId="30" type="noConversion"/>
  </si>
  <si>
    <t>指定该簇脱离并机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</si>
</sst>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_);[Red]\(0.0\)"/>
  </numFmts>
  <fonts count="32" x14ac:knownFonts="1">
    <font>
      <sz val="11"/>
      <color theme="1"/>
      <name val="微软雅黑"/>
      <charset val="134"/>
    </font>
    <font>
      <sz val="11"/>
      <color rgb="FF000000"/>
      <name val="宋体"/>
      <charset val="134"/>
    </font>
    <font>
      <b/>
      <sz val="18"/>
      <color rgb="FF000000"/>
      <name val="宋体"/>
      <charset val="134"/>
    </font>
    <font>
      <b/>
      <sz val="12"/>
      <color rgb="FF000000"/>
      <name val="宋体"/>
      <charset val="134"/>
    </font>
    <font>
      <b/>
      <sz val="24"/>
      <color rgb="FF000000"/>
      <name val="宋体"/>
      <charset val="134"/>
    </font>
    <font>
      <b/>
      <sz val="12"/>
      <color rgb="FF000000"/>
      <name val="Calibri"/>
      <family val="2"/>
    </font>
    <font>
      <sz val="12"/>
      <color rgb="FF000000"/>
      <name val="宋体"/>
      <charset val="134"/>
    </font>
    <font>
      <sz val="12"/>
      <color rgb="FF000000"/>
      <name val="Calibri"/>
      <family val="2"/>
    </font>
    <font>
      <b/>
      <sz val="11"/>
      <color rgb="FF000000"/>
      <name val="宋体"/>
      <charset val="134"/>
    </font>
    <font>
      <sz val="11"/>
      <color rgb="FF000000"/>
      <name val="Calibri"/>
      <family val="2"/>
    </font>
    <font>
      <sz val="11"/>
      <color rgb="FFFF0000"/>
      <name val="宋体"/>
      <charset val="134"/>
    </font>
    <font>
      <sz val="12"/>
      <color rgb="FF000000"/>
      <name val="华文中宋"/>
      <charset val="134"/>
    </font>
    <font>
      <sz val="12"/>
      <name val="华文中宋"/>
      <charset val="134"/>
    </font>
    <font>
      <sz val="12"/>
      <color rgb="FFFF0000"/>
      <name val="华文中宋"/>
      <charset val="134"/>
    </font>
    <font>
      <strike/>
      <sz val="11"/>
      <color rgb="FF000000"/>
      <name val="宋体"/>
      <charset val="134"/>
    </font>
    <font>
      <sz val="10.5"/>
      <color rgb="FF000000"/>
      <name val="华文中宋"/>
      <charset val="134"/>
    </font>
    <font>
      <sz val="10.5"/>
      <color rgb="FFFF0000"/>
      <name val="华文中宋"/>
      <charset val="134"/>
    </font>
    <font>
      <sz val="12"/>
      <color rgb="FF0070C0"/>
      <name val="华文中宋"/>
      <charset val="134"/>
    </font>
    <font>
      <sz val="10.5"/>
      <name val="华文中宋"/>
      <charset val="134"/>
    </font>
    <font>
      <sz val="11"/>
      <color rgb="FF000000"/>
      <name val="华文中宋"/>
      <charset val="134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宋体"/>
      <charset val="134"/>
    </font>
    <font>
      <sz val="12"/>
      <color rgb="FF000000"/>
      <name val="Arial"/>
      <family val="2"/>
    </font>
    <font>
      <sz val="11"/>
      <color theme="1"/>
      <name val="宋体"/>
      <charset val="134"/>
      <scheme val="minor"/>
    </font>
    <font>
      <b/>
      <i/>
      <sz val="10"/>
      <color rgb="FF000000"/>
      <name val="宋体"/>
      <charset val="134"/>
    </font>
    <font>
      <b/>
      <sz val="14"/>
      <color rgb="FF000000"/>
      <name val="宋体"/>
      <charset val="134"/>
    </font>
    <font>
      <sz val="12"/>
      <color rgb="FFFF0000"/>
      <name val="宋体"/>
      <charset val="134"/>
    </font>
    <font>
      <sz val="9"/>
      <name val="微软雅黑"/>
      <charset val="134"/>
    </font>
    <font>
      <sz val="9"/>
      <name val="微软雅黑"/>
      <family val="2"/>
      <charset val="134"/>
    </font>
    <font>
      <sz val="12"/>
      <color rgb="FF000000"/>
      <name val="华文中宋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5" fillId="0" borderId="0">
      <alignment vertical="center"/>
    </xf>
  </cellStyleXfs>
  <cellXfs count="1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1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1" fillId="0" borderId="16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2" fillId="2" borderId="19" xfId="0" applyFont="1" applyFill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" fillId="0" borderId="17" xfId="0" applyFont="1" applyBorder="1">
      <alignment vertical="center"/>
    </xf>
    <xf numFmtId="0" fontId="10" fillId="0" borderId="17" xfId="0" applyFont="1" applyBorder="1">
      <alignment vertical="center"/>
    </xf>
    <xf numFmtId="0" fontId="11" fillId="0" borderId="20" xfId="0" applyFont="1" applyBorder="1" applyAlignment="1">
      <alignment horizontal="left" vertical="center" wrapText="1"/>
    </xf>
    <xf numFmtId="0" fontId="1" fillId="0" borderId="20" xfId="0" applyFont="1" applyBorder="1">
      <alignment vertical="center"/>
    </xf>
    <xf numFmtId="0" fontId="14" fillId="0" borderId="0" xfId="0" applyFont="1">
      <alignment vertical="center"/>
    </xf>
    <xf numFmtId="0" fontId="11" fillId="3" borderId="20" xfId="0" applyFont="1" applyFill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2" borderId="20" xfId="0" applyFont="1" applyFill="1" applyBorder="1">
      <alignment vertical="center"/>
    </xf>
    <xf numFmtId="0" fontId="1" fillId="4" borderId="20" xfId="0" applyFont="1" applyFill="1" applyBorder="1">
      <alignment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0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1" fillId="5" borderId="0" xfId="0" applyFont="1" applyFill="1">
      <alignment vertical="center"/>
    </xf>
    <xf numFmtId="0" fontId="11" fillId="0" borderId="18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left" vertical="center" wrapText="1"/>
    </xf>
    <xf numFmtId="0" fontId="12" fillId="2" borderId="17" xfId="0" applyFont="1" applyFill="1" applyBorder="1" applyAlignment="1">
      <alignment horizontal="left" vertical="center" wrapText="1"/>
    </xf>
    <xf numFmtId="0" fontId="13" fillId="2" borderId="17" xfId="0" applyFont="1" applyFill="1" applyBorder="1" applyAlignment="1">
      <alignment horizontal="left" vertical="center" wrapText="1"/>
    </xf>
    <xf numFmtId="0" fontId="16" fillId="2" borderId="17" xfId="0" applyFont="1" applyFill="1" applyBorder="1" applyAlignment="1">
      <alignment horizontal="left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15" fillId="2" borderId="17" xfId="0" applyFont="1" applyFill="1" applyBorder="1" applyAlignment="1">
      <alignment horizontal="left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left" vertical="center" wrapText="1"/>
    </xf>
    <xf numFmtId="0" fontId="15" fillId="5" borderId="17" xfId="0" applyFont="1" applyFill="1" applyBorder="1" applyAlignment="1">
      <alignment horizontal="left" vertical="center" wrapText="1"/>
    </xf>
    <xf numFmtId="0" fontId="15" fillId="5" borderId="17" xfId="0" applyFont="1" applyFill="1" applyBorder="1" applyAlignment="1">
      <alignment horizontal="center" vertical="center" wrapText="1"/>
    </xf>
    <xf numFmtId="0" fontId="16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6" fillId="5" borderId="17" xfId="0" applyFont="1" applyFill="1" applyBorder="1" applyAlignment="1">
      <alignment horizontal="left" vertical="center" wrapText="1"/>
    </xf>
    <xf numFmtId="0" fontId="18" fillId="0" borderId="17" xfId="0" applyFont="1" applyBorder="1" applyAlignment="1">
      <alignment horizontal="left" vertical="center" wrapText="1"/>
    </xf>
    <xf numFmtId="0" fontId="18" fillId="0" borderId="17" xfId="0" applyFont="1" applyBorder="1" applyAlignment="1">
      <alignment horizontal="center" vertical="center" wrapText="1"/>
    </xf>
    <xf numFmtId="0" fontId="19" fillId="0" borderId="17" xfId="0" applyFont="1" applyBorder="1" applyAlignment="1">
      <alignment vertical="center" wrapText="1"/>
    </xf>
    <xf numFmtId="0" fontId="1" fillId="0" borderId="17" xfId="0" applyFont="1" applyBorder="1" applyAlignment="1">
      <alignment horizontal="center" vertical="center"/>
    </xf>
    <xf numFmtId="176" fontId="21" fillId="6" borderId="22" xfId="0" applyNumberFormat="1" applyFont="1" applyFill="1" applyBorder="1" applyAlignment="1">
      <alignment horizontal="center" vertical="top" wrapText="1"/>
    </xf>
    <xf numFmtId="0" fontId="21" fillId="6" borderId="23" xfId="0" applyFont="1" applyFill="1" applyBorder="1" applyAlignment="1">
      <alignment horizontal="center" vertical="top" wrapText="1"/>
    </xf>
    <xf numFmtId="0" fontId="21" fillId="6" borderId="24" xfId="0" applyFont="1" applyFill="1" applyBorder="1" applyAlignment="1">
      <alignment horizontal="center" vertical="top" wrapText="1"/>
    </xf>
    <xf numFmtId="0" fontId="21" fillId="6" borderId="25" xfId="0" applyFont="1" applyFill="1" applyBorder="1" applyAlignment="1">
      <alignment horizontal="center" vertical="top" wrapText="1"/>
    </xf>
    <xf numFmtId="0" fontId="21" fillId="6" borderId="26" xfId="0" applyFont="1" applyFill="1" applyBorder="1" applyAlignment="1">
      <alignment horizontal="center" vertical="top" wrapText="1"/>
    </xf>
    <xf numFmtId="176" fontId="22" fillId="0" borderId="27" xfId="0" applyNumberFormat="1" applyFont="1" applyBorder="1" applyAlignment="1">
      <alignment horizontal="center" vertical="center" wrapText="1"/>
    </xf>
    <xf numFmtId="14" fontId="22" fillId="0" borderId="17" xfId="0" applyNumberFormat="1" applyFont="1" applyBorder="1" applyAlignment="1">
      <alignment horizontal="center" vertical="center" wrapText="1"/>
    </xf>
    <xf numFmtId="176" fontId="23" fillId="0" borderId="28" xfId="0" applyNumberFormat="1" applyFont="1" applyBorder="1" applyAlignment="1">
      <alignment horizontal="center" vertical="center" wrapText="1"/>
    </xf>
    <xf numFmtId="14" fontId="22" fillId="0" borderId="17" xfId="0" applyNumberFormat="1" applyFont="1" applyBorder="1" applyAlignment="1">
      <alignment horizontal="left" vertical="top" wrapText="1"/>
    </xf>
    <xf numFmtId="0" fontId="23" fillId="0" borderId="29" xfId="0" applyFont="1" applyBorder="1" applyAlignment="1">
      <alignment horizontal="left" vertical="center" wrapText="1"/>
    </xf>
    <xf numFmtId="14" fontId="1" fillId="0" borderId="16" xfId="0" applyNumberFormat="1" applyFont="1" applyBorder="1" applyAlignment="1">
      <alignment horizontal="left" vertical="top" wrapText="1"/>
    </xf>
    <xf numFmtId="0" fontId="24" fillId="0" borderId="17" xfId="0" applyFont="1" applyBorder="1">
      <alignment vertical="center"/>
    </xf>
    <xf numFmtId="0" fontId="23" fillId="0" borderId="30" xfId="0" applyFont="1" applyBorder="1" applyAlignment="1">
      <alignment horizontal="left" vertical="center" wrapText="1"/>
    </xf>
    <xf numFmtId="14" fontId="1" fillId="0" borderId="17" xfId="0" applyNumberFormat="1" applyFont="1" applyBorder="1" applyAlignment="1">
      <alignment horizontal="left" vertical="top" wrapText="1"/>
    </xf>
    <xf numFmtId="0" fontId="11" fillId="7" borderId="17" xfId="0" applyFont="1" applyFill="1" applyBorder="1" applyAlignment="1">
      <alignment horizontal="left" vertical="center" wrapText="1"/>
    </xf>
    <xf numFmtId="0" fontId="12" fillId="7" borderId="19" xfId="0" applyFont="1" applyFill="1" applyBorder="1" applyAlignment="1">
      <alignment horizontal="left" vertical="center" wrapText="1"/>
    </xf>
    <xf numFmtId="0" fontId="0" fillId="7" borderId="0" xfId="0" applyFill="1">
      <alignment vertical="center"/>
    </xf>
    <xf numFmtId="0" fontId="31" fillId="7" borderId="17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2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view="pageBreakPreview" zoomScaleNormal="100" workbookViewId="0">
      <selection activeCell="M11" sqref="M11"/>
    </sheetView>
  </sheetViews>
  <sheetFormatPr defaultColWidth="8" defaultRowHeight="30" customHeight="1" x14ac:dyDescent="0.45"/>
  <cols>
    <col min="1" max="1" width="8" style="1"/>
    <col min="2" max="2" width="9.69140625" style="1" customWidth="1"/>
    <col min="3" max="5" width="8" style="1"/>
    <col min="6" max="6" width="36.15234375" style="1" customWidth="1"/>
    <col min="7" max="16384" width="8" style="1"/>
  </cols>
  <sheetData>
    <row r="1" spans="1:6" ht="51.75" customHeight="1" x14ac:dyDescent="0.45">
      <c r="A1" s="82" t="s">
        <v>0</v>
      </c>
      <c r="B1" s="83"/>
      <c r="C1" s="83"/>
      <c r="D1" s="83"/>
      <c r="E1" s="83"/>
      <c r="F1" s="84"/>
    </row>
    <row r="2" spans="1:6" ht="41.25" customHeight="1" x14ac:dyDescent="0.45">
      <c r="A2" s="64" t="s">
        <v>1</v>
      </c>
      <c r="B2" s="65" t="s">
        <v>2</v>
      </c>
      <c r="C2" s="66" t="s">
        <v>3</v>
      </c>
      <c r="D2" s="67" t="s">
        <v>4</v>
      </c>
      <c r="E2" s="67" t="s">
        <v>5</v>
      </c>
      <c r="F2" s="68" t="s">
        <v>6</v>
      </c>
    </row>
    <row r="3" spans="1:6" ht="30" customHeight="1" x14ac:dyDescent="0.45">
      <c r="A3" s="69" t="s">
        <v>7</v>
      </c>
      <c r="B3" s="70">
        <v>45818</v>
      </c>
      <c r="C3" s="71" t="s">
        <v>8</v>
      </c>
      <c r="D3" s="72"/>
      <c r="E3" s="72"/>
      <c r="F3" s="73" t="s">
        <v>9</v>
      </c>
    </row>
    <row r="4" spans="1:6" ht="30" customHeight="1" x14ac:dyDescent="0.45">
      <c r="A4" s="69"/>
      <c r="B4" s="70"/>
      <c r="C4" s="71"/>
      <c r="D4" s="72"/>
      <c r="E4" s="72"/>
      <c r="F4" s="73"/>
    </row>
    <row r="5" spans="1:6" ht="30" customHeight="1" x14ac:dyDescent="0.45">
      <c r="A5" s="69"/>
      <c r="B5" s="70"/>
      <c r="C5" s="71"/>
      <c r="D5" s="72"/>
      <c r="E5" s="72"/>
      <c r="F5" s="73"/>
    </row>
    <row r="6" spans="1:6" ht="30" customHeight="1" x14ac:dyDescent="0.45">
      <c r="A6" s="69"/>
      <c r="B6" s="70"/>
      <c r="C6" s="71"/>
      <c r="D6" s="72"/>
      <c r="E6" s="72"/>
      <c r="F6" s="73"/>
    </row>
    <row r="7" spans="1:6" ht="14" x14ac:dyDescent="0.45">
      <c r="A7" s="69"/>
      <c r="B7" s="70"/>
      <c r="C7" s="71"/>
      <c r="D7" s="72"/>
      <c r="E7" s="72"/>
      <c r="F7" s="73"/>
    </row>
    <row r="8" spans="1:6" ht="30" customHeight="1" x14ac:dyDescent="0.45">
      <c r="A8" s="69"/>
      <c r="B8" s="70"/>
      <c r="C8" s="71"/>
      <c r="D8" s="72"/>
      <c r="E8" s="72"/>
      <c r="F8" s="73"/>
    </row>
    <row r="9" spans="1:6" ht="30" customHeight="1" x14ac:dyDescent="0.45">
      <c r="A9" s="69"/>
      <c r="B9" s="70"/>
      <c r="C9" s="71"/>
      <c r="D9" s="72"/>
      <c r="E9" s="72"/>
      <c r="F9" s="73"/>
    </row>
    <row r="10" spans="1:6" ht="14" x14ac:dyDescent="0.45">
      <c r="A10" s="69"/>
      <c r="B10" s="70"/>
      <c r="C10" s="71"/>
      <c r="D10" s="74"/>
      <c r="E10" s="74"/>
      <c r="F10" s="73"/>
    </row>
    <row r="11" spans="1:6" ht="30" customHeight="1" x14ac:dyDescent="0.45">
      <c r="A11" s="69"/>
      <c r="B11" s="70"/>
      <c r="C11" s="71"/>
      <c r="D11" s="74"/>
      <c r="E11" s="74"/>
      <c r="F11" s="73"/>
    </row>
    <row r="12" spans="1:6" ht="15.5" x14ac:dyDescent="0.45">
      <c r="A12" s="69"/>
      <c r="B12" s="70"/>
      <c r="C12" s="71"/>
      <c r="D12" s="75"/>
      <c r="E12" s="75"/>
      <c r="F12" s="73"/>
    </row>
    <row r="13" spans="1:6" ht="30" customHeight="1" x14ac:dyDescent="0.45">
      <c r="A13" s="69"/>
      <c r="B13" s="70"/>
      <c r="C13" s="71"/>
      <c r="D13" s="75"/>
      <c r="E13" s="75"/>
      <c r="F13" s="73"/>
    </row>
    <row r="14" spans="1:6" ht="30" customHeight="1" x14ac:dyDescent="0.45">
      <c r="A14" s="69"/>
      <c r="B14" s="70"/>
      <c r="C14" s="71"/>
      <c r="D14" s="75"/>
      <c r="E14" s="75"/>
      <c r="F14" s="76"/>
    </row>
    <row r="15" spans="1:6" ht="30" customHeight="1" x14ac:dyDescent="0.45">
      <c r="A15" s="69"/>
      <c r="B15" s="70"/>
      <c r="C15" s="71"/>
      <c r="D15" s="75"/>
      <c r="E15" s="75"/>
      <c r="F15" s="76"/>
    </row>
    <row r="16" spans="1:6" ht="30" customHeight="1" x14ac:dyDescent="0.45">
      <c r="A16" s="69"/>
      <c r="B16" s="70"/>
      <c r="C16" s="71"/>
      <c r="D16" s="77"/>
      <c r="E16" s="77"/>
      <c r="F16" s="76"/>
    </row>
    <row r="17" spans="1:6" ht="30" customHeight="1" x14ac:dyDescent="0.45">
      <c r="A17" s="69"/>
      <c r="B17" s="70"/>
      <c r="C17" s="71"/>
      <c r="D17" s="77"/>
      <c r="E17" s="77"/>
      <c r="F17" s="76"/>
    </row>
    <row r="18" spans="1:6" ht="30" customHeight="1" x14ac:dyDescent="0.45">
      <c r="A18" s="69"/>
      <c r="B18" s="70"/>
      <c r="C18" s="71"/>
      <c r="D18" s="77"/>
      <c r="E18" s="77"/>
      <c r="F18" s="76"/>
    </row>
    <row r="19" spans="1:6" ht="30" customHeight="1" x14ac:dyDescent="0.45">
      <c r="A19" s="69"/>
      <c r="B19" s="70"/>
      <c r="C19" s="71"/>
      <c r="D19" s="77"/>
      <c r="E19" s="77"/>
      <c r="F19" s="76"/>
    </row>
    <row r="20" spans="1:6" ht="30" customHeight="1" x14ac:dyDescent="0.45">
      <c r="A20" s="69"/>
      <c r="B20" s="70"/>
      <c r="C20" s="71"/>
      <c r="D20" s="77"/>
      <c r="E20" s="77"/>
      <c r="F20" s="76"/>
    </row>
    <row r="21" spans="1:6" ht="30" customHeight="1" x14ac:dyDescent="0.45">
      <c r="A21" s="69"/>
      <c r="B21" s="70"/>
      <c r="C21" s="71"/>
      <c r="D21" s="77"/>
      <c r="E21" s="77"/>
      <c r="F21" s="76"/>
    </row>
    <row r="22" spans="1:6" ht="30" customHeight="1" x14ac:dyDescent="0.45">
      <c r="A22" s="69"/>
      <c r="B22" s="70"/>
      <c r="C22" s="71"/>
      <c r="D22" s="77"/>
      <c r="E22" s="77"/>
      <c r="F22" s="76"/>
    </row>
    <row r="23" spans="1:6" ht="30" customHeight="1" x14ac:dyDescent="0.45">
      <c r="A23" s="69"/>
      <c r="B23" s="70"/>
      <c r="C23" s="71"/>
      <c r="D23" s="77"/>
      <c r="E23" s="77"/>
      <c r="F23" s="76"/>
    </row>
    <row r="24" spans="1:6" ht="30" customHeight="1" x14ac:dyDescent="0.45">
      <c r="A24" s="69"/>
      <c r="B24" s="70"/>
      <c r="C24" s="71"/>
      <c r="D24" s="77"/>
      <c r="E24" s="77"/>
      <c r="F24" s="76"/>
    </row>
    <row r="25" spans="1:6" ht="30" customHeight="1" x14ac:dyDescent="0.45">
      <c r="A25" s="69"/>
      <c r="B25" s="70"/>
      <c r="C25" s="71"/>
      <c r="D25" s="77"/>
      <c r="E25" s="77"/>
      <c r="F25" s="76"/>
    </row>
    <row r="26" spans="1:6" ht="30" customHeight="1" x14ac:dyDescent="0.45">
      <c r="A26" s="69"/>
      <c r="B26" s="70"/>
      <c r="C26" s="71"/>
      <c r="D26" s="77"/>
      <c r="E26" s="77"/>
      <c r="F26" s="76"/>
    </row>
    <row r="27" spans="1:6" ht="30" customHeight="1" x14ac:dyDescent="0.45">
      <c r="A27" s="69"/>
      <c r="B27" s="70"/>
      <c r="C27" s="71"/>
      <c r="D27" s="77"/>
      <c r="E27" s="77"/>
      <c r="F27" s="76"/>
    </row>
    <row r="28" spans="1:6" ht="30" customHeight="1" x14ac:dyDescent="0.45">
      <c r="A28" s="69"/>
      <c r="B28" s="70"/>
      <c r="C28" s="71"/>
      <c r="D28" s="77"/>
      <c r="E28" s="77"/>
      <c r="F28" s="76"/>
    </row>
    <row r="29" spans="1:6" ht="30" customHeight="1" x14ac:dyDescent="0.45">
      <c r="A29" s="69"/>
      <c r="B29" s="70"/>
      <c r="C29" s="71"/>
      <c r="D29" s="77"/>
      <c r="E29" s="77"/>
      <c r="F29" s="76"/>
    </row>
    <row r="30" spans="1:6" ht="30" customHeight="1" x14ac:dyDescent="0.45">
      <c r="A30" s="69"/>
      <c r="B30" s="70"/>
      <c r="C30" s="71"/>
      <c r="D30" s="77"/>
      <c r="E30" s="77"/>
      <c r="F30" s="76"/>
    </row>
    <row r="31" spans="1:6" ht="30" customHeight="1" x14ac:dyDescent="0.45">
      <c r="A31" s="69"/>
      <c r="B31" s="70"/>
      <c r="C31" s="71"/>
      <c r="D31" s="77"/>
      <c r="E31" s="77"/>
      <c r="F31" s="76"/>
    </row>
    <row r="32" spans="1:6" ht="30" customHeight="1" x14ac:dyDescent="0.45">
      <c r="A32" s="69"/>
      <c r="B32" s="70"/>
      <c r="C32" s="71"/>
      <c r="D32" s="77"/>
      <c r="E32" s="77"/>
      <c r="F32" s="76"/>
    </row>
    <row r="33" spans="1:6" ht="30" customHeight="1" x14ac:dyDescent="0.45">
      <c r="A33" s="69"/>
      <c r="B33" s="70"/>
      <c r="C33" s="71"/>
      <c r="D33" s="77"/>
      <c r="E33" s="77"/>
      <c r="F33" s="76"/>
    </row>
    <row r="34" spans="1:6" ht="30" customHeight="1" x14ac:dyDescent="0.45">
      <c r="A34" s="69"/>
      <c r="B34" s="70"/>
      <c r="C34" s="71"/>
      <c r="D34" s="77"/>
      <c r="E34" s="77"/>
      <c r="F34" s="76"/>
    </row>
    <row r="35" spans="1:6" ht="30" customHeight="1" x14ac:dyDescent="0.45">
      <c r="A35" s="69"/>
      <c r="B35" s="70"/>
      <c r="C35" s="71"/>
      <c r="D35" s="77"/>
      <c r="E35" s="77"/>
      <c r="F35" s="76"/>
    </row>
    <row r="36" spans="1:6" ht="30" customHeight="1" x14ac:dyDescent="0.45">
      <c r="A36" s="69"/>
      <c r="B36" s="70"/>
      <c r="C36" s="71"/>
      <c r="D36" s="77"/>
      <c r="E36" s="77"/>
      <c r="F36" s="76"/>
    </row>
    <row r="37" spans="1:6" ht="30" customHeight="1" x14ac:dyDescent="0.45">
      <c r="A37" s="69"/>
      <c r="B37" s="70"/>
      <c r="C37" s="71"/>
      <c r="D37" s="77"/>
      <c r="E37" s="77"/>
      <c r="F37" s="76"/>
    </row>
    <row r="38" spans="1:6" ht="30" customHeight="1" x14ac:dyDescent="0.45">
      <c r="A38" s="69"/>
      <c r="B38" s="70"/>
      <c r="C38" s="71"/>
      <c r="D38" s="77"/>
      <c r="E38" s="77"/>
      <c r="F38" s="76"/>
    </row>
    <row r="39" spans="1:6" ht="30" customHeight="1" x14ac:dyDescent="0.45">
      <c r="A39" s="69"/>
      <c r="B39" s="70"/>
      <c r="C39" s="71"/>
      <c r="D39" s="77"/>
      <c r="E39" s="77"/>
      <c r="F39" s="76"/>
    </row>
    <row r="40" spans="1:6" ht="30" customHeight="1" x14ac:dyDescent="0.45">
      <c r="A40" s="69"/>
      <c r="B40" s="70"/>
      <c r="C40" s="71"/>
      <c r="D40" s="77"/>
      <c r="E40" s="77"/>
      <c r="F40" s="76"/>
    </row>
    <row r="41" spans="1:6" ht="30" customHeight="1" x14ac:dyDescent="0.45">
      <c r="A41" s="69"/>
      <c r="B41" s="70"/>
      <c r="C41" s="71"/>
      <c r="D41" s="77"/>
      <c r="E41" s="77"/>
      <c r="F41" s="76"/>
    </row>
    <row r="42" spans="1:6" ht="30" customHeight="1" x14ac:dyDescent="0.45">
      <c r="A42" s="69"/>
      <c r="B42" s="70"/>
      <c r="C42" s="71"/>
      <c r="D42" s="77"/>
      <c r="E42" s="77"/>
      <c r="F42" s="76"/>
    </row>
    <row r="43" spans="1:6" ht="30" customHeight="1" x14ac:dyDescent="0.45">
      <c r="A43" s="69"/>
      <c r="B43" s="70"/>
      <c r="C43" s="71"/>
      <c r="D43" s="77"/>
      <c r="E43" s="77"/>
      <c r="F43" s="76"/>
    </row>
  </sheetData>
  <sheetProtection formatCells="0" formatColumns="0" formatRows="0" insertColumns="0" insertRows="0" insertHyperlinks="0" deleteColumns="0" deleteRows="0" sort="0" autoFilter="0" pivotTables="0"/>
  <mergeCells count="1">
    <mergeCell ref="A1:F1"/>
  </mergeCells>
  <phoneticPr fontId="30" type="noConversion"/>
  <pageMargins left="0.70078740157480301" right="0.70078740157480301" top="0.75196850393700798" bottom="0.75196850393700798" header="0.29921259842519699" footer="0.29921259842519699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99"/>
  <sheetViews>
    <sheetView topLeftCell="A59" workbookViewId="0">
      <selection activeCell="D83" sqref="D83"/>
    </sheetView>
  </sheetViews>
  <sheetFormatPr defaultColWidth="8" defaultRowHeight="14" x14ac:dyDescent="0.45"/>
  <cols>
    <col min="1" max="2" width="12" style="1" customWidth="1"/>
    <col min="3" max="3" width="29.3828125" style="1" customWidth="1"/>
    <col min="4" max="4" width="19.3828125" style="1" customWidth="1"/>
    <col min="5" max="5" width="6.23046875" style="1" customWidth="1"/>
    <col min="6" max="6" width="7" style="1" customWidth="1"/>
    <col min="7" max="7" width="8.53515625" style="1" customWidth="1"/>
    <col min="8" max="8" width="28.84375" style="1" customWidth="1"/>
    <col min="9" max="12" width="5" style="33" customWidth="1"/>
    <col min="13" max="13" width="25.23046875" style="1" customWidth="1"/>
    <col min="14" max="14" width="17.61328125" style="1" customWidth="1"/>
    <col min="15" max="16384" width="8" style="1"/>
  </cols>
  <sheetData>
    <row r="2" spans="1:14" ht="31" x14ac:dyDescent="0.45">
      <c r="A2" s="88" t="s">
        <v>10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9"/>
      <c r="N2" s="1" t="s">
        <v>11</v>
      </c>
    </row>
    <row r="3" spans="1:14" ht="34" x14ac:dyDescent="0.45">
      <c r="A3" s="14" t="s">
        <v>12</v>
      </c>
      <c r="B3" s="14" t="s">
        <v>13</v>
      </c>
      <c r="C3" s="14" t="s">
        <v>14</v>
      </c>
      <c r="D3" s="14"/>
      <c r="E3" s="14" t="s">
        <v>15</v>
      </c>
      <c r="F3" s="14" t="s">
        <v>16</v>
      </c>
      <c r="G3" s="14" t="s">
        <v>17</v>
      </c>
      <c r="H3" s="14" t="s">
        <v>11</v>
      </c>
      <c r="I3" s="38" t="s">
        <v>18</v>
      </c>
      <c r="J3" s="38" t="s">
        <v>19</v>
      </c>
      <c r="K3" s="38" t="s">
        <v>20</v>
      </c>
      <c r="L3" s="38" t="s">
        <v>21</v>
      </c>
      <c r="M3" s="14" t="s">
        <v>22</v>
      </c>
    </row>
    <row r="4" spans="1:14" ht="27" customHeight="1" x14ac:dyDescent="0.45">
      <c r="A4" s="16" t="str">
        <f>DEC2HEX(0)</f>
        <v>0</v>
      </c>
      <c r="B4" s="16">
        <v>1</v>
      </c>
      <c r="C4" s="16" t="s">
        <v>23</v>
      </c>
      <c r="D4" s="16"/>
      <c r="E4" s="16" t="s">
        <v>24</v>
      </c>
      <c r="F4" s="39">
        <v>0.1</v>
      </c>
      <c r="G4" s="39"/>
      <c r="H4" s="39"/>
      <c r="I4" s="90" t="s">
        <v>25</v>
      </c>
      <c r="J4" s="90" t="s">
        <v>25</v>
      </c>
      <c r="K4" s="90" t="s">
        <v>25</v>
      </c>
      <c r="L4" s="40"/>
      <c r="M4" s="90" t="s">
        <v>26</v>
      </c>
    </row>
    <row r="5" spans="1:14" ht="27.75" customHeight="1" x14ac:dyDescent="0.45">
      <c r="A5" s="16" t="str">
        <f t="shared" ref="A5:A68" si="0">DEC2HEX(HEX2DEC(A4)+B4)</f>
        <v>1</v>
      </c>
      <c r="B5" s="16">
        <v>1</v>
      </c>
      <c r="C5" s="16" t="s">
        <v>27</v>
      </c>
      <c r="D5" s="16" t="s">
        <v>28</v>
      </c>
      <c r="E5" s="16" t="s">
        <v>29</v>
      </c>
      <c r="F5" s="39">
        <v>0.1</v>
      </c>
      <c r="G5" s="39">
        <v>-30000</v>
      </c>
      <c r="H5" s="39" t="s">
        <v>30</v>
      </c>
      <c r="I5" s="91"/>
      <c r="J5" s="91"/>
      <c r="K5" s="91"/>
      <c r="L5" s="41"/>
      <c r="M5" s="92"/>
    </row>
    <row r="6" spans="1:14" ht="17" x14ac:dyDescent="0.45">
      <c r="A6" s="16" t="str">
        <f t="shared" si="0"/>
        <v>2</v>
      </c>
      <c r="B6" s="16">
        <v>1</v>
      </c>
      <c r="C6" s="16" t="s">
        <v>31</v>
      </c>
      <c r="D6" s="16" t="s">
        <v>32</v>
      </c>
      <c r="E6" s="16" t="s">
        <v>33</v>
      </c>
      <c r="F6" s="39">
        <v>0.1</v>
      </c>
      <c r="G6" s="39"/>
      <c r="H6" s="39"/>
      <c r="I6" s="42" t="s">
        <v>25</v>
      </c>
      <c r="J6" s="42" t="s">
        <v>25</v>
      </c>
      <c r="K6" s="42" t="s">
        <v>25</v>
      </c>
      <c r="L6" s="42"/>
      <c r="M6" s="39"/>
    </row>
    <row r="7" spans="1:14" ht="17" x14ac:dyDescent="0.45">
      <c r="A7" s="16" t="str">
        <f t="shared" si="0"/>
        <v>3</v>
      </c>
      <c r="B7" s="16">
        <v>1</v>
      </c>
      <c r="C7" s="16" t="s">
        <v>34</v>
      </c>
      <c r="D7" s="16" t="s">
        <v>32</v>
      </c>
      <c r="E7" s="16" t="s">
        <v>33</v>
      </c>
      <c r="F7" s="39">
        <v>0.1</v>
      </c>
      <c r="G7" s="39"/>
      <c r="H7" s="39"/>
      <c r="I7" s="42"/>
      <c r="J7" s="42"/>
      <c r="K7" s="42"/>
      <c r="L7" s="42"/>
      <c r="M7" s="39" t="s">
        <v>35</v>
      </c>
    </row>
    <row r="8" spans="1:14" ht="17" x14ac:dyDescent="0.45">
      <c r="A8" s="16" t="str">
        <f t="shared" si="0"/>
        <v>4</v>
      </c>
      <c r="B8" s="16">
        <v>1</v>
      </c>
      <c r="C8" s="16" t="s">
        <v>36</v>
      </c>
      <c r="D8" s="16"/>
      <c r="E8" s="16" t="s">
        <v>33</v>
      </c>
      <c r="F8" s="39">
        <v>0.1</v>
      </c>
      <c r="G8" s="39"/>
      <c r="H8" s="39"/>
      <c r="I8" s="42"/>
      <c r="J8" s="42"/>
      <c r="K8" s="42" t="s">
        <v>25</v>
      </c>
      <c r="L8" s="42"/>
      <c r="M8" s="39"/>
    </row>
    <row r="9" spans="1:14" ht="17" x14ac:dyDescent="0.45">
      <c r="A9" s="16" t="str">
        <f t="shared" si="0"/>
        <v>5</v>
      </c>
      <c r="B9" s="16">
        <v>1</v>
      </c>
      <c r="C9" s="16" t="s">
        <v>37</v>
      </c>
      <c r="D9" s="16"/>
      <c r="E9" s="16" t="s">
        <v>38</v>
      </c>
      <c r="F9" s="39">
        <v>0.1</v>
      </c>
      <c r="G9" s="39"/>
      <c r="H9" s="39"/>
      <c r="I9" s="42"/>
      <c r="J9" s="42"/>
      <c r="K9" s="42"/>
      <c r="L9" s="42"/>
      <c r="M9" s="39" t="s">
        <v>35</v>
      </c>
    </row>
    <row r="10" spans="1:14" ht="17" x14ac:dyDescent="0.45">
      <c r="A10" s="16" t="str">
        <f t="shared" si="0"/>
        <v>6</v>
      </c>
      <c r="B10" s="16">
        <v>1</v>
      </c>
      <c r="C10" s="16" t="s">
        <v>39</v>
      </c>
      <c r="D10" s="16"/>
      <c r="E10" s="16" t="s">
        <v>38</v>
      </c>
      <c r="F10" s="39">
        <v>0.1</v>
      </c>
      <c r="G10" s="39"/>
      <c r="H10" s="39"/>
      <c r="I10" s="42"/>
      <c r="J10" s="42"/>
      <c r="K10" s="42"/>
      <c r="L10" s="42"/>
      <c r="M10" s="39" t="s">
        <v>35</v>
      </c>
    </row>
    <row r="11" spans="1:14" ht="238" x14ac:dyDescent="0.45">
      <c r="A11" s="16" t="str">
        <f t="shared" si="0"/>
        <v>7</v>
      </c>
      <c r="B11" s="16">
        <v>1</v>
      </c>
      <c r="C11" s="16" t="s">
        <v>40</v>
      </c>
      <c r="D11" s="16"/>
      <c r="E11" s="16"/>
      <c r="F11" s="39">
        <v>0</v>
      </c>
      <c r="G11" s="39"/>
      <c r="H11" s="43" t="s">
        <v>41</v>
      </c>
      <c r="I11" s="42" t="s">
        <v>25</v>
      </c>
      <c r="J11" s="42" t="s">
        <v>25</v>
      </c>
      <c r="K11" s="42" t="s">
        <v>25</v>
      </c>
      <c r="L11" s="42"/>
      <c r="M11" s="16" t="s">
        <v>42</v>
      </c>
      <c r="N11" s="9" t="s">
        <v>43</v>
      </c>
    </row>
    <row r="12" spans="1:14" ht="17" x14ac:dyDescent="0.45">
      <c r="A12" s="16" t="str">
        <f t="shared" si="0"/>
        <v>8</v>
      </c>
      <c r="B12" s="16">
        <v>1</v>
      </c>
      <c r="C12" s="16" t="s">
        <v>44</v>
      </c>
      <c r="D12" s="16"/>
      <c r="E12" s="16"/>
      <c r="F12" s="39">
        <v>0</v>
      </c>
      <c r="G12" s="39"/>
      <c r="H12" s="16" t="s">
        <v>45</v>
      </c>
      <c r="I12" s="12"/>
      <c r="J12" s="12"/>
      <c r="K12" s="12"/>
      <c r="L12" s="12"/>
      <c r="M12" s="16" t="s">
        <v>35</v>
      </c>
    </row>
    <row r="13" spans="1:14" ht="136" x14ac:dyDescent="0.45">
      <c r="A13" s="16" t="str">
        <f t="shared" si="0"/>
        <v>9</v>
      </c>
      <c r="B13" s="16">
        <v>1</v>
      </c>
      <c r="C13" s="16" t="s">
        <v>46</v>
      </c>
      <c r="D13" s="16"/>
      <c r="E13" s="16"/>
      <c r="F13" s="39">
        <v>1</v>
      </c>
      <c r="G13" s="39"/>
      <c r="H13" s="43" t="s">
        <v>47</v>
      </c>
      <c r="I13" s="12"/>
      <c r="J13" s="12"/>
      <c r="K13" s="12"/>
      <c r="L13" s="12"/>
      <c r="M13" s="16" t="s">
        <v>35</v>
      </c>
    </row>
    <row r="14" spans="1:14" ht="348" x14ac:dyDescent="0.45">
      <c r="A14" s="16" t="str">
        <f t="shared" si="0"/>
        <v>A</v>
      </c>
      <c r="B14" s="16">
        <v>1</v>
      </c>
      <c r="C14" s="16" t="s">
        <v>48</v>
      </c>
      <c r="D14" s="16"/>
      <c r="E14" s="16"/>
      <c r="F14" s="39">
        <v>1</v>
      </c>
      <c r="G14" s="39"/>
      <c r="H14" s="39" t="s">
        <v>49</v>
      </c>
      <c r="I14" s="42"/>
      <c r="J14" s="42"/>
      <c r="K14" s="42"/>
      <c r="L14" s="42"/>
      <c r="M14" s="39" t="s">
        <v>35</v>
      </c>
    </row>
    <row r="15" spans="1:14" ht="17" x14ac:dyDescent="0.45">
      <c r="A15" s="16" t="str">
        <f t="shared" si="0"/>
        <v>B</v>
      </c>
      <c r="B15" s="16">
        <v>1</v>
      </c>
      <c r="C15" s="16" t="s">
        <v>50</v>
      </c>
      <c r="D15" s="16"/>
      <c r="E15" s="16" t="s">
        <v>24</v>
      </c>
      <c r="F15" s="39">
        <v>0.1</v>
      </c>
      <c r="G15" s="39"/>
      <c r="H15" s="39"/>
      <c r="I15" s="42"/>
      <c r="J15" s="42"/>
      <c r="K15" s="42"/>
      <c r="L15" s="42"/>
      <c r="M15" s="39" t="s">
        <v>35</v>
      </c>
    </row>
    <row r="16" spans="1:14" ht="17" x14ac:dyDescent="0.45">
      <c r="A16" s="16" t="str">
        <f t="shared" si="0"/>
        <v>C</v>
      </c>
      <c r="B16" s="16">
        <v>1</v>
      </c>
      <c r="C16" s="16" t="s">
        <v>51</v>
      </c>
      <c r="D16" s="16"/>
      <c r="E16" s="16" t="s">
        <v>24</v>
      </c>
      <c r="F16" s="39">
        <v>0.1</v>
      </c>
      <c r="G16" s="39"/>
      <c r="H16" s="16"/>
      <c r="I16" s="12"/>
      <c r="J16" s="12"/>
      <c r="K16" s="12"/>
      <c r="L16" s="12"/>
      <c r="M16" s="39" t="s">
        <v>35</v>
      </c>
    </row>
    <row r="17" spans="1:13" ht="17" x14ac:dyDescent="0.45">
      <c r="A17" s="16" t="str">
        <f t="shared" si="0"/>
        <v>D</v>
      </c>
      <c r="B17" s="16">
        <v>1</v>
      </c>
      <c r="C17" s="16" t="s">
        <v>52</v>
      </c>
      <c r="D17" s="16"/>
      <c r="E17" s="16" t="s">
        <v>24</v>
      </c>
      <c r="F17" s="39">
        <v>0.1</v>
      </c>
      <c r="G17" s="39"/>
      <c r="H17" s="16"/>
      <c r="I17" s="12"/>
      <c r="J17" s="12"/>
      <c r="K17" s="12"/>
      <c r="L17" s="12"/>
      <c r="M17" s="39" t="s">
        <v>35</v>
      </c>
    </row>
    <row r="18" spans="1:13" ht="17" x14ac:dyDescent="0.45">
      <c r="A18" s="16" t="str">
        <f t="shared" si="0"/>
        <v>E</v>
      </c>
      <c r="B18" s="16">
        <v>1</v>
      </c>
      <c r="C18" s="16" t="s">
        <v>53</v>
      </c>
      <c r="D18" s="16"/>
      <c r="E18" s="16" t="s">
        <v>24</v>
      </c>
      <c r="F18" s="39">
        <v>0.1</v>
      </c>
      <c r="G18" s="39"/>
      <c r="H18" s="16"/>
      <c r="I18" s="12"/>
      <c r="J18" s="12"/>
      <c r="K18" s="12"/>
      <c r="L18" s="12"/>
      <c r="M18" s="39" t="s">
        <v>35</v>
      </c>
    </row>
    <row r="19" spans="1:13" ht="17" x14ac:dyDescent="0.45">
      <c r="A19" s="16" t="str">
        <f t="shared" si="0"/>
        <v>F</v>
      </c>
      <c r="B19" s="16">
        <v>1</v>
      </c>
      <c r="C19" s="16" t="s">
        <v>54</v>
      </c>
      <c r="D19" s="16"/>
      <c r="E19" s="16"/>
      <c r="F19" s="39">
        <v>1</v>
      </c>
      <c r="G19" s="39"/>
      <c r="H19" s="16"/>
      <c r="I19" s="12"/>
      <c r="J19" s="12"/>
      <c r="K19" s="12" t="s">
        <v>25</v>
      </c>
      <c r="L19" s="12"/>
      <c r="M19" s="39"/>
    </row>
    <row r="20" spans="1:13" ht="17" x14ac:dyDescent="0.45">
      <c r="A20" s="16" t="str">
        <f t="shared" si="0"/>
        <v>10</v>
      </c>
      <c r="B20" s="16">
        <v>1</v>
      </c>
      <c r="C20" s="16" t="s">
        <v>55</v>
      </c>
      <c r="D20" s="16"/>
      <c r="E20" s="16"/>
      <c r="F20" s="39">
        <v>1</v>
      </c>
      <c r="G20" s="39"/>
      <c r="H20" s="16"/>
      <c r="I20" s="12"/>
      <c r="J20" s="12"/>
      <c r="K20" s="12" t="s">
        <v>25</v>
      </c>
      <c r="L20" s="12"/>
      <c r="M20" s="39"/>
    </row>
    <row r="21" spans="1:13" ht="17" x14ac:dyDescent="0.45">
      <c r="A21" s="16" t="str">
        <f t="shared" si="0"/>
        <v>11</v>
      </c>
      <c r="B21" s="16">
        <v>1</v>
      </c>
      <c r="C21" s="16" t="s">
        <v>56</v>
      </c>
      <c r="D21" s="16"/>
      <c r="E21" s="16"/>
      <c r="F21" s="39">
        <v>1</v>
      </c>
      <c r="G21" s="39"/>
      <c r="H21" s="16"/>
      <c r="I21" s="12"/>
      <c r="J21" s="12"/>
      <c r="K21" s="12" t="s">
        <v>25</v>
      </c>
      <c r="L21" s="12"/>
      <c r="M21" s="39"/>
    </row>
    <row r="22" spans="1:13" ht="17" x14ac:dyDescent="0.45">
      <c r="A22" s="16" t="str">
        <f t="shared" si="0"/>
        <v>12</v>
      </c>
      <c r="B22" s="16">
        <v>1</v>
      </c>
      <c r="C22" s="16" t="s">
        <v>57</v>
      </c>
      <c r="D22" s="16"/>
      <c r="E22" s="16" t="s">
        <v>24</v>
      </c>
      <c r="F22" s="39">
        <v>1E-3</v>
      </c>
      <c r="G22" s="39"/>
      <c r="H22" s="16"/>
      <c r="I22" s="12"/>
      <c r="J22" s="12"/>
      <c r="K22" s="12" t="s">
        <v>25</v>
      </c>
      <c r="L22" s="12"/>
      <c r="M22" s="39"/>
    </row>
    <row r="23" spans="1:13" ht="17" x14ac:dyDescent="0.45">
      <c r="A23" s="16" t="str">
        <f t="shared" si="0"/>
        <v>13</v>
      </c>
      <c r="B23" s="16">
        <v>1</v>
      </c>
      <c r="C23" s="16" t="s">
        <v>58</v>
      </c>
      <c r="D23" s="16"/>
      <c r="E23" s="16"/>
      <c r="F23" s="39">
        <v>1</v>
      </c>
      <c r="G23" s="39"/>
      <c r="H23" s="16"/>
      <c r="I23" s="12"/>
      <c r="J23" s="12"/>
      <c r="K23" s="12" t="s">
        <v>25</v>
      </c>
      <c r="L23" s="12"/>
      <c r="M23" s="39"/>
    </row>
    <row r="24" spans="1:13" ht="17" x14ac:dyDescent="0.45">
      <c r="A24" s="16" t="str">
        <f t="shared" si="0"/>
        <v>14</v>
      </c>
      <c r="B24" s="16">
        <v>1</v>
      </c>
      <c r="C24" s="16" t="s">
        <v>59</v>
      </c>
      <c r="D24" s="16"/>
      <c r="E24" s="16"/>
      <c r="F24" s="39">
        <v>1</v>
      </c>
      <c r="G24" s="39"/>
      <c r="H24" s="16"/>
      <c r="I24" s="12"/>
      <c r="J24" s="12"/>
      <c r="K24" s="12" t="s">
        <v>25</v>
      </c>
      <c r="L24" s="12"/>
      <c r="M24" s="39"/>
    </row>
    <row r="25" spans="1:13" ht="17" x14ac:dyDescent="0.45">
      <c r="A25" s="16" t="str">
        <f t="shared" si="0"/>
        <v>15</v>
      </c>
      <c r="B25" s="16">
        <v>1</v>
      </c>
      <c r="C25" s="16" t="s">
        <v>60</v>
      </c>
      <c r="D25" s="16"/>
      <c r="E25" s="16" t="s">
        <v>24</v>
      </c>
      <c r="F25" s="39">
        <v>1E-3</v>
      </c>
      <c r="G25" s="39"/>
      <c r="H25" s="16"/>
      <c r="I25" s="12"/>
      <c r="J25" s="12"/>
      <c r="K25" s="12" t="s">
        <v>25</v>
      </c>
      <c r="L25" s="12"/>
      <c r="M25" s="39"/>
    </row>
    <row r="26" spans="1:13" ht="17" x14ac:dyDescent="0.45">
      <c r="A26" s="16" t="str">
        <f t="shared" si="0"/>
        <v>16</v>
      </c>
      <c r="B26" s="16">
        <v>1</v>
      </c>
      <c r="C26" s="16" t="s">
        <v>61</v>
      </c>
      <c r="D26" s="16"/>
      <c r="E26" s="16"/>
      <c r="F26" s="39">
        <v>1</v>
      </c>
      <c r="G26" s="39"/>
      <c r="H26" s="16"/>
      <c r="I26" s="12"/>
      <c r="J26" s="12"/>
      <c r="K26" s="12" t="s">
        <v>25</v>
      </c>
      <c r="L26" s="12"/>
      <c r="M26" s="39"/>
    </row>
    <row r="27" spans="1:13" ht="17" x14ac:dyDescent="0.45">
      <c r="A27" s="16" t="str">
        <f t="shared" si="0"/>
        <v>17</v>
      </c>
      <c r="B27" s="16">
        <v>1</v>
      </c>
      <c r="C27" s="16" t="s">
        <v>62</v>
      </c>
      <c r="D27" s="16"/>
      <c r="E27" s="16"/>
      <c r="F27" s="39">
        <v>1</v>
      </c>
      <c r="G27" s="39"/>
      <c r="H27" s="16"/>
      <c r="I27" s="12"/>
      <c r="J27" s="12"/>
      <c r="K27" s="12" t="s">
        <v>25</v>
      </c>
      <c r="L27" s="12"/>
      <c r="M27" s="39"/>
    </row>
    <row r="28" spans="1:13" ht="17" x14ac:dyDescent="0.45">
      <c r="A28" s="16" t="str">
        <f t="shared" si="0"/>
        <v>18</v>
      </c>
      <c r="B28" s="16">
        <v>1</v>
      </c>
      <c r="C28" s="16" t="s">
        <v>63</v>
      </c>
      <c r="D28" s="16"/>
      <c r="E28" s="16" t="s">
        <v>24</v>
      </c>
      <c r="F28" s="39">
        <v>1E-3</v>
      </c>
      <c r="G28" s="39"/>
      <c r="H28" s="16"/>
      <c r="I28" s="12"/>
      <c r="J28" s="12"/>
      <c r="K28" s="12" t="s">
        <v>25</v>
      </c>
      <c r="L28" s="12"/>
      <c r="M28" s="39"/>
    </row>
    <row r="29" spans="1:13" ht="17" x14ac:dyDescent="0.45">
      <c r="A29" s="16" t="str">
        <f t="shared" si="0"/>
        <v>19</v>
      </c>
      <c r="B29" s="16">
        <v>1</v>
      </c>
      <c r="C29" s="16" t="s">
        <v>64</v>
      </c>
      <c r="D29" s="16"/>
      <c r="E29" s="16" t="s">
        <v>24</v>
      </c>
      <c r="F29" s="39">
        <v>0.1</v>
      </c>
      <c r="G29" s="39"/>
      <c r="H29" s="16"/>
      <c r="I29" s="12"/>
      <c r="J29" s="12"/>
      <c r="K29" s="12"/>
      <c r="L29" s="12" t="s">
        <v>25</v>
      </c>
      <c r="M29" s="39"/>
    </row>
    <row r="30" spans="1:13" ht="17" x14ac:dyDescent="0.45">
      <c r="A30" s="16" t="str">
        <f t="shared" si="0"/>
        <v>1A</v>
      </c>
      <c r="B30" s="16">
        <v>1</v>
      </c>
      <c r="C30" s="16" t="s">
        <v>65</v>
      </c>
      <c r="D30" s="16"/>
      <c r="E30" s="16"/>
      <c r="F30" s="39"/>
      <c r="G30" s="39"/>
      <c r="H30" s="16"/>
      <c r="I30" s="12"/>
      <c r="J30" s="12"/>
      <c r="K30" s="12"/>
      <c r="L30" s="12" t="s">
        <v>25</v>
      </c>
      <c r="M30" s="39"/>
    </row>
    <row r="31" spans="1:13" ht="17" x14ac:dyDescent="0.45">
      <c r="A31" s="16" t="str">
        <f t="shared" si="0"/>
        <v>1B</v>
      </c>
      <c r="B31" s="16">
        <v>1</v>
      </c>
      <c r="C31" s="16" t="s">
        <v>66</v>
      </c>
      <c r="D31" s="16"/>
      <c r="E31" s="16" t="s">
        <v>24</v>
      </c>
      <c r="F31" s="39">
        <v>0.1</v>
      </c>
      <c r="G31" s="39"/>
      <c r="H31" s="16"/>
      <c r="I31" s="12"/>
      <c r="J31" s="12"/>
      <c r="K31" s="12"/>
      <c r="L31" s="12" t="s">
        <v>25</v>
      </c>
      <c r="M31" s="39"/>
    </row>
    <row r="32" spans="1:13" ht="17" x14ac:dyDescent="0.45">
      <c r="A32" s="16" t="str">
        <f t="shared" si="0"/>
        <v>1C</v>
      </c>
      <c r="B32" s="16">
        <v>1</v>
      </c>
      <c r="C32" s="16" t="s">
        <v>67</v>
      </c>
      <c r="D32" s="16"/>
      <c r="E32" s="16"/>
      <c r="F32" s="39"/>
      <c r="G32" s="39"/>
      <c r="H32" s="16"/>
      <c r="I32" s="12"/>
      <c r="J32" s="12"/>
      <c r="K32" s="12"/>
      <c r="L32" s="12" t="s">
        <v>25</v>
      </c>
      <c r="M32" s="39"/>
    </row>
    <row r="33" spans="1:13" ht="17" x14ac:dyDescent="0.45">
      <c r="A33" s="16" t="str">
        <f t="shared" si="0"/>
        <v>1D</v>
      </c>
      <c r="B33" s="16">
        <v>1</v>
      </c>
      <c r="C33" s="16" t="s">
        <v>68</v>
      </c>
      <c r="D33" s="16"/>
      <c r="E33" s="16" t="s">
        <v>69</v>
      </c>
      <c r="F33" s="39">
        <v>0.1</v>
      </c>
      <c r="G33" s="39">
        <v>-40</v>
      </c>
      <c r="H33" s="16" t="s">
        <v>70</v>
      </c>
      <c r="I33" s="12"/>
      <c r="J33" s="12"/>
      <c r="K33" s="12" t="s">
        <v>25</v>
      </c>
      <c r="L33" s="12"/>
      <c r="M33" s="39"/>
    </row>
    <row r="34" spans="1:13" ht="17" x14ac:dyDescent="0.45">
      <c r="A34" s="16" t="str">
        <f t="shared" si="0"/>
        <v>1E</v>
      </c>
      <c r="B34" s="16">
        <v>1</v>
      </c>
      <c r="C34" s="16" t="s">
        <v>71</v>
      </c>
      <c r="D34" s="16"/>
      <c r="E34" s="16"/>
      <c r="F34" s="39">
        <v>1</v>
      </c>
      <c r="G34" s="39"/>
      <c r="H34" s="16"/>
      <c r="I34" s="12"/>
      <c r="J34" s="12"/>
      <c r="K34" s="42" t="s">
        <v>25</v>
      </c>
      <c r="L34" s="42"/>
      <c r="M34" s="16"/>
    </row>
    <row r="35" spans="1:13" ht="17" x14ac:dyDescent="0.45">
      <c r="A35" s="16" t="str">
        <f t="shared" si="0"/>
        <v>1F</v>
      </c>
      <c r="B35" s="16">
        <v>1</v>
      </c>
      <c r="C35" s="16" t="s">
        <v>72</v>
      </c>
      <c r="D35" s="16"/>
      <c r="E35" s="16"/>
      <c r="F35" s="39">
        <v>1</v>
      </c>
      <c r="G35" s="39"/>
      <c r="H35" s="16"/>
      <c r="I35" s="12"/>
      <c r="J35" s="12"/>
      <c r="K35" s="42" t="s">
        <v>25</v>
      </c>
      <c r="L35" s="42"/>
      <c r="M35" s="16"/>
    </row>
    <row r="36" spans="1:13" s="35" customFormat="1" ht="17" x14ac:dyDescent="0.45">
      <c r="A36" s="44" t="str">
        <f t="shared" si="0"/>
        <v>20</v>
      </c>
      <c r="B36" s="44">
        <v>1</v>
      </c>
      <c r="C36" s="44" t="s">
        <v>73</v>
      </c>
      <c r="D36" s="45"/>
      <c r="E36" s="45"/>
      <c r="F36" s="46"/>
      <c r="G36" s="46"/>
      <c r="H36" s="45"/>
      <c r="I36" s="47"/>
      <c r="J36" s="47"/>
      <c r="K36" s="48"/>
      <c r="L36" s="48"/>
      <c r="M36" s="45"/>
    </row>
    <row r="37" spans="1:13" s="35" customFormat="1" ht="17" x14ac:dyDescent="0.45">
      <c r="A37" s="44" t="str">
        <f t="shared" si="0"/>
        <v>21</v>
      </c>
      <c r="B37" s="44">
        <v>1</v>
      </c>
      <c r="C37" s="44" t="s">
        <v>73</v>
      </c>
      <c r="D37" s="45"/>
      <c r="E37" s="45"/>
      <c r="F37" s="46"/>
      <c r="G37" s="46"/>
      <c r="H37" s="45"/>
      <c r="I37" s="47"/>
      <c r="J37" s="47"/>
      <c r="K37" s="48"/>
      <c r="L37" s="48"/>
      <c r="M37" s="45"/>
    </row>
    <row r="38" spans="1:13" s="35" customFormat="1" ht="17" x14ac:dyDescent="0.45">
      <c r="A38" s="44" t="str">
        <f t="shared" si="0"/>
        <v>22</v>
      </c>
      <c r="B38" s="44">
        <v>1</v>
      </c>
      <c r="C38" s="44" t="s">
        <v>73</v>
      </c>
      <c r="D38" s="45"/>
      <c r="E38" s="45"/>
      <c r="F38" s="46"/>
      <c r="G38" s="46"/>
      <c r="H38" s="45"/>
      <c r="I38" s="47"/>
      <c r="J38" s="47"/>
      <c r="K38" s="48"/>
      <c r="L38" s="48"/>
      <c r="M38" s="45"/>
    </row>
    <row r="39" spans="1:13" ht="17" x14ac:dyDescent="0.45">
      <c r="A39" s="16" t="str">
        <f t="shared" si="0"/>
        <v>23</v>
      </c>
      <c r="B39" s="16">
        <v>1</v>
      </c>
      <c r="C39" s="16" t="s">
        <v>74</v>
      </c>
      <c r="D39" s="16"/>
      <c r="E39" s="16" t="s">
        <v>69</v>
      </c>
      <c r="F39" s="39">
        <v>0.1</v>
      </c>
      <c r="G39" s="39">
        <v>-40</v>
      </c>
      <c r="H39" s="16" t="s">
        <v>70</v>
      </c>
      <c r="I39" s="12"/>
      <c r="J39" s="12"/>
      <c r="K39" s="42" t="s">
        <v>25</v>
      </c>
      <c r="L39" s="42"/>
      <c r="M39" s="16"/>
    </row>
    <row r="40" spans="1:13" ht="17" x14ac:dyDescent="0.45">
      <c r="A40" s="16" t="str">
        <f t="shared" si="0"/>
        <v>24</v>
      </c>
      <c r="B40" s="16">
        <v>1</v>
      </c>
      <c r="C40" s="16" t="s">
        <v>75</v>
      </c>
      <c r="D40" s="16"/>
      <c r="E40" s="16"/>
      <c r="F40" s="39">
        <v>1</v>
      </c>
      <c r="G40" s="39"/>
      <c r="H40" s="16"/>
      <c r="I40" s="12"/>
      <c r="J40" s="12"/>
      <c r="K40" s="42" t="s">
        <v>25</v>
      </c>
      <c r="L40" s="42"/>
      <c r="M40" s="16"/>
    </row>
    <row r="41" spans="1:13" ht="17" x14ac:dyDescent="0.45">
      <c r="A41" s="16" t="str">
        <f t="shared" si="0"/>
        <v>25</v>
      </c>
      <c r="B41" s="16">
        <v>1</v>
      </c>
      <c r="C41" s="16" t="s">
        <v>76</v>
      </c>
      <c r="D41" s="16"/>
      <c r="E41" s="16"/>
      <c r="F41" s="39">
        <v>1</v>
      </c>
      <c r="G41" s="39"/>
      <c r="H41" s="16"/>
      <c r="I41" s="12"/>
      <c r="J41" s="12"/>
      <c r="K41" s="42" t="s">
        <v>25</v>
      </c>
      <c r="L41" s="42"/>
      <c r="M41" s="16"/>
    </row>
    <row r="42" spans="1:13" s="35" customFormat="1" ht="17" x14ac:dyDescent="0.45">
      <c r="A42" s="44" t="str">
        <f t="shared" si="0"/>
        <v>26</v>
      </c>
      <c r="B42" s="44">
        <v>1</v>
      </c>
      <c r="C42" s="44" t="s">
        <v>73</v>
      </c>
      <c r="D42" s="45"/>
      <c r="E42" s="45"/>
      <c r="F42" s="46"/>
      <c r="G42" s="46"/>
      <c r="H42" s="45"/>
      <c r="I42" s="47"/>
      <c r="J42" s="47"/>
      <c r="K42" s="48"/>
      <c r="L42" s="48"/>
      <c r="M42" s="45"/>
    </row>
    <row r="43" spans="1:13" s="35" customFormat="1" ht="17" x14ac:dyDescent="0.45">
      <c r="A43" s="44" t="str">
        <f t="shared" si="0"/>
        <v>27</v>
      </c>
      <c r="B43" s="44">
        <v>1</v>
      </c>
      <c r="C43" s="44" t="s">
        <v>73</v>
      </c>
      <c r="D43" s="45"/>
      <c r="E43" s="45"/>
      <c r="F43" s="46"/>
      <c r="G43" s="46"/>
      <c r="H43" s="45"/>
      <c r="I43" s="47"/>
      <c r="J43" s="47"/>
      <c r="K43" s="48"/>
      <c r="L43" s="48"/>
      <c r="M43" s="45"/>
    </row>
    <row r="44" spans="1:13" s="35" customFormat="1" ht="17" x14ac:dyDescent="0.45">
      <c r="A44" s="44" t="str">
        <f t="shared" si="0"/>
        <v>28</v>
      </c>
      <c r="B44" s="44">
        <v>1</v>
      </c>
      <c r="C44" s="44" t="s">
        <v>73</v>
      </c>
      <c r="D44" s="45"/>
      <c r="E44" s="45"/>
      <c r="F44" s="46"/>
      <c r="G44" s="46"/>
      <c r="H44" s="45"/>
      <c r="I44" s="47"/>
      <c r="J44" s="47"/>
      <c r="K44" s="48"/>
      <c r="L44" s="48"/>
      <c r="M44" s="45"/>
    </row>
    <row r="45" spans="1:13" ht="17" x14ac:dyDescent="0.45">
      <c r="A45" s="16" t="str">
        <f t="shared" si="0"/>
        <v>29</v>
      </c>
      <c r="B45" s="16">
        <v>1</v>
      </c>
      <c r="C45" s="16" t="s">
        <v>77</v>
      </c>
      <c r="D45" s="16"/>
      <c r="E45" s="16" t="s">
        <v>69</v>
      </c>
      <c r="F45" s="39">
        <v>0.1</v>
      </c>
      <c r="G45" s="39"/>
      <c r="H45" s="16" t="s">
        <v>78</v>
      </c>
      <c r="I45" s="12"/>
      <c r="J45" s="12"/>
      <c r="K45" s="42" t="s">
        <v>25</v>
      </c>
      <c r="L45" s="42"/>
      <c r="M45" s="16"/>
    </row>
    <row r="46" spans="1:13" s="35" customFormat="1" ht="17" x14ac:dyDescent="0.45">
      <c r="A46" s="44" t="str">
        <f t="shared" si="0"/>
        <v>2A</v>
      </c>
      <c r="B46" s="44">
        <v>1</v>
      </c>
      <c r="C46" s="44" t="s">
        <v>73</v>
      </c>
      <c r="D46" s="45"/>
      <c r="E46" s="45"/>
      <c r="F46" s="46"/>
      <c r="G46" s="46"/>
      <c r="H46" s="45"/>
      <c r="I46" s="47"/>
      <c r="J46" s="47"/>
      <c r="K46" s="48"/>
      <c r="L46" s="48"/>
      <c r="M46" s="45"/>
    </row>
    <row r="47" spans="1:13" ht="17" x14ac:dyDescent="0.45">
      <c r="A47" s="16" t="str">
        <f t="shared" si="0"/>
        <v>2B</v>
      </c>
      <c r="B47" s="16">
        <v>1</v>
      </c>
      <c r="C47" s="16" t="s">
        <v>79</v>
      </c>
      <c r="D47" s="16"/>
      <c r="E47" s="16" t="s">
        <v>69</v>
      </c>
      <c r="F47" s="39"/>
      <c r="G47" s="39">
        <v>-40</v>
      </c>
      <c r="H47" s="16"/>
      <c r="I47" s="12"/>
      <c r="J47" s="12"/>
      <c r="K47" s="42"/>
      <c r="L47" s="42" t="s">
        <v>25</v>
      </c>
      <c r="M47" s="16"/>
    </row>
    <row r="48" spans="1:13" ht="17" x14ac:dyDescent="0.45">
      <c r="A48" s="16" t="str">
        <f t="shared" si="0"/>
        <v>2C</v>
      </c>
      <c r="B48" s="16">
        <v>1</v>
      </c>
      <c r="C48" s="16" t="s">
        <v>80</v>
      </c>
      <c r="D48" s="16"/>
      <c r="E48" s="16" t="s">
        <v>69</v>
      </c>
      <c r="F48" s="39"/>
      <c r="G48" s="39">
        <v>-40</v>
      </c>
      <c r="H48" s="16"/>
      <c r="I48" s="12"/>
      <c r="J48" s="12"/>
      <c r="K48" s="42"/>
      <c r="L48" s="42" t="s">
        <v>25</v>
      </c>
      <c r="M48" s="16"/>
    </row>
    <row r="49" spans="1:13" ht="17" x14ac:dyDescent="0.45">
      <c r="A49" s="16" t="str">
        <f t="shared" si="0"/>
        <v>2D</v>
      </c>
      <c r="B49" s="16">
        <v>1</v>
      </c>
      <c r="C49" s="16" t="s">
        <v>81</v>
      </c>
      <c r="D49" s="16"/>
      <c r="E49" s="16" t="s">
        <v>69</v>
      </c>
      <c r="F49" s="39"/>
      <c r="G49" s="39">
        <v>-40</v>
      </c>
      <c r="H49" s="16"/>
      <c r="I49" s="12"/>
      <c r="J49" s="12"/>
      <c r="K49" s="42"/>
      <c r="L49" s="42" t="s">
        <v>25</v>
      </c>
      <c r="M49" s="16"/>
    </row>
    <row r="50" spans="1:13" ht="17" x14ac:dyDescent="0.45">
      <c r="A50" s="16" t="str">
        <f t="shared" si="0"/>
        <v>2E</v>
      </c>
      <c r="B50" s="16">
        <v>1</v>
      </c>
      <c r="C50" s="16" t="s">
        <v>82</v>
      </c>
      <c r="D50" s="16"/>
      <c r="E50" s="16" t="s">
        <v>69</v>
      </c>
      <c r="F50" s="39"/>
      <c r="G50" s="39">
        <v>-40</v>
      </c>
      <c r="H50" s="16"/>
      <c r="I50" s="12"/>
      <c r="J50" s="12"/>
      <c r="K50" s="42"/>
      <c r="L50" s="42" t="s">
        <v>25</v>
      </c>
      <c r="M50" s="16"/>
    </row>
    <row r="51" spans="1:13" ht="17" x14ac:dyDescent="0.45">
      <c r="A51" s="16" t="str">
        <f t="shared" si="0"/>
        <v>2F</v>
      </c>
      <c r="B51" s="16">
        <v>1</v>
      </c>
      <c r="C51" s="16" t="s">
        <v>83</v>
      </c>
      <c r="D51" s="16"/>
      <c r="E51" s="16" t="s">
        <v>69</v>
      </c>
      <c r="F51" s="39"/>
      <c r="G51" s="39">
        <v>-40</v>
      </c>
      <c r="H51" s="16"/>
      <c r="I51" s="12"/>
      <c r="J51" s="12"/>
      <c r="K51" s="42"/>
      <c r="L51" s="42" t="s">
        <v>25</v>
      </c>
      <c r="M51" s="16"/>
    </row>
    <row r="52" spans="1:13" ht="17" x14ac:dyDescent="0.45">
      <c r="A52" s="16" t="str">
        <f t="shared" si="0"/>
        <v>30</v>
      </c>
      <c r="B52" s="16">
        <v>1</v>
      </c>
      <c r="C52" s="16" t="s">
        <v>84</v>
      </c>
      <c r="D52" s="16"/>
      <c r="E52" s="16"/>
      <c r="F52" s="39"/>
      <c r="G52" s="39"/>
      <c r="H52" s="16"/>
      <c r="I52" s="12"/>
      <c r="J52" s="12"/>
      <c r="K52" s="42"/>
      <c r="L52" s="42" t="s">
        <v>25</v>
      </c>
      <c r="M52" s="16"/>
    </row>
    <row r="53" spans="1:13" ht="17" x14ac:dyDescent="0.45">
      <c r="A53" s="16" t="str">
        <f t="shared" si="0"/>
        <v>31</v>
      </c>
      <c r="B53" s="16">
        <v>1</v>
      </c>
      <c r="C53" s="16" t="s">
        <v>85</v>
      </c>
      <c r="D53" s="16"/>
      <c r="E53" s="16" t="s">
        <v>69</v>
      </c>
      <c r="F53" s="39"/>
      <c r="G53" s="39">
        <v>-40</v>
      </c>
      <c r="H53" s="16"/>
      <c r="I53" s="12"/>
      <c r="J53" s="12"/>
      <c r="K53" s="42"/>
      <c r="L53" s="42" t="s">
        <v>25</v>
      </c>
      <c r="M53" s="16"/>
    </row>
    <row r="54" spans="1:13" ht="17" x14ac:dyDescent="0.45">
      <c r="A54" s="16" t="str">
        <f t="shared" si="0"/>
        <v>32</v>
      </c>
      <c r="B54" s="16">
        <v>1</v>
      </c>
      <c r="C54" s="16" t="s">
        <v>86</v>
      </c>
      <c r="D54" s="16"/>
      <c r="E54" s="16"/>
      <c r="F54" s="39"/>
      <c r="G54" s="39"/>
      <c r="H54" s="16"/>
      <c r="I54" s="12"/>
      <c r="J54" s="12"/>
      <c r="K54" s="12"/>
      <c r="L54" s="42" t="s">
        <v>25</v>
      </c>
      <c r="M54" s="16"/>
    </row>
    <row r="55" spans="1:13" ht="17" x14ac:dyDescent="0.45">
      <c r="A55" s="16" t="str">
        <f t="shared" si="0"/>
        <v>33</v>
      </c>
      <c r="B55" s="16">
        <v>1</v>
      </c>
      <c r="C55" s="16" t="s">
        <v>87</v>
      </c>
      <c r="D55" s="16"/>
      <c r="E55" s="16" t="s">
        <v>69</v>
      </c>
      <c r="F55" s="39"/>
      <c r="G55" s="39">
        <v>-40</v>
      </c>
      <c r="H55" s="16"/>
      <c r="I55" s="12"/>
      <c r="J55" s="12"/>
      <c r="K55" s="12"/>
      <c r="L55" s="42" t="s">
        <v>25</v>
      </c>
      <c r="M55" s="16"/>
    </row>
    <row r="56" spans="1:13" ht="17" x14ac:dyDescent="0.45">
      <c r="A56" s="16" t="str">
        <f t="shared" si="0"/>
        <v>34</v>
      </c>
      <c r="B56" s="16">
        <v>1</v>
      </c>
      <c r="C56" s="16" t="s">
        <v>88</v>
      </c>
      <c r="D56" s="16"/>
      <c r="E56" s="16"/>
      <c r="F56" s="39"/>
      <c r="G56" s="39"/>
      <c r="H56" s="16"/>
      <c r="I56" s="12"/>
      <c r="J56" s="12"/>
      <c r="K56" s="12"/>
      <c r="L56" s="42" t="s">
        <v>25</v>
      </c>
      <c r="M56" s="16"/>
    </row>
    <row r="57" spans="1:13" ht="17" x14ac:dyDescent="0.45">
      <c r="A57" s="16" t="str">
        <f t="shared" si="0"/>
        <v>35</v>
      </c>
      <c r="B57" s="16">
        <v>1</v>
      </c>
      <c r="C57" s="16" t="s">
        <v>89</v>
      </c>
      <c r="D57" s="16"/>
      <c r="E57" s="16" t="s">
        <v>69</v>
      </c>
      <c r="F57" s="39"/>
      <c r="G57" s="39">
        <v>-40</v>
      </c>
      <c r="H57" s="16"/>
      <c r="I57" s="12"/>
      <c r="J57" s="12"/>
      <c r="K57" s="12"/>
      <c r="L57" s="42" t="s">
        <v>25</v>
      </c>
      <c r="M57" s="16"/>
    </row>
    <row r="58" spans="1:13" ht="17" x14ac:dyDescent="0.45">
      <c r="A58" s="16" t="str">
        <f t="shared" si="0"/>
        <v>36</v>
      </c>
      <c r="B58" s="16">
        <v>1</v>
      </c>
      <c r="C58" s="16" t="s">
        <v>90</v>
      </c>
      <c r="D58" s="16"/>
      <c r="E58" s="16"/>
      <c r="F58" s="39"/>
      <c r="G58" s="39"/>
      <c r="H58" s="16"/>
      <c r="I58" s="12"/>
      <c r="J58" s="12"/>
      <c r="K58" s="12"/>
      <c r="L58" s="42" t="s">
        <v>25</v>
      </c>
      <c r="M58" s="16"/>
    </row>
    <row r="59" spans="1:13" ht="17" x14ac:dyDescent="0.45">
      <c r="A59" s="16" t="str">
        <f t="shared" si="0"/>
        <v>37</v>
      </c>
      <c r="B59" s="16">
        <v>1</v>
      </c>
      <c r="C59" s="16" t="s">
        <v>91</v>
      </c>
      <c r="D59" s="16"/>
      <c r="E59" s="16" t="s">
        <v>69</v>
      </c>
      <c r="F59" s="39"/>
      <c r="G59" s="39">
        <v>-40</v>
      </c>
      <c r="H59" s="16"/>
      <c r="I59" s="12"/>
      <c r="J59" s="12"/>
      <c r="K59" s="12"/>
      <c r="L59" s="12"/>
      <c r="M59" s="39" t="s">
        <v>35</v>
      </c>
    </row>
    <row r="60" spans="1:13" ht="17" x14ac:dyDescent="0.45">
      <c r="A60" s="16" t="str">
        <f t="shared" si="0"/>
        <v>38</v>
      </c>
      <c r="B60" s="16">
        <v>1</v>
      </c>
      <c r="C60" s="16" t="s">
        <v>92</v>
      </c>
      <c r="D60" s="16"/>
      <c r="E60" s="16" t="s">
        <v>93</v>
      </c>
      <c r="F60" s="39"/>
      <c r="G60" s="39"/>
      <c r="H60" s="16"/>
      <c r="I60" s="42" t="s">
        <v>25</v>
      </c>
      <c r="J60" s="42" t="s">
        <v>25</v>
      </c>
      <c r="K60" s="42" t="s">
        <v>25</v>
      </c>
      <c r="L60" s="42"/>
      <c r="M60" s="85" t="s">
        <v>94</v>
      </c>
    </row>
    <row r="61" spans="1:13" ht="17" x14ac:dyDescent="0.45">
      <c r="A61" s="16" t="str">
        <f t="shared" si="0"/>
        <v>39</v>
      </c>
      <c r="B61" s="16">
        <v>1</v>
      </c>
      <c r="C61" s="16" t="s">
        <v>95</v>
      </c>
      <c r="D61" s="16"/>
      <c r="E61" s="16" t="s">
        <v>93</v>
      </c>
      <c r="F61" s="39"/>
      <c r="G61" s="39"/>
      <c r="H61" s="16"/>
      <c r="I61" s="42" t="s">
        <v>25</v>
      </c>
      <c r="J61" s="42" t="s">
        <v>25</v>
      </c>
      <c r="K61" s="42" t="s">
        <v>25</v>
      </c>
      <c r="L61" s="42"/>
      <c r="M61" s="86"/>
    </row>
    <row r="62" spans="1:13" ht="17" x14ac:dyDescent="0.45">
      <c r="A62" s="16" t="str">
        <f t="shared" si="0"/>
        <v>3A</v>
      </c>
      <c r="B62" s="16">
        <v>1</v>
      </c>
      <c r="C62" s="16" t="s">
        <v>96</v>
      </c>
      <c r="D62" s="16"/>
      <c r="E62" s="16" t="s">
        <v>93</v>
      </c>
      <c r="F62" s="39"/>
      <c r="G62" s="39"/>
      <c r="H62" s="16"/>
      <c r="I62" s="42" t="s">
        <v>25</v>
      </c>
      <c r="J62" s="42" t="s">
        <v>25</v>
      </c>
      <c r="K62" s="42" t="s">
        <v>25</v>
      </c>
      <c r="L62" s="42"/>
      <c r="M62" s="86"/>
    </row>
    <row r="63" spans="1:13" ht="17" x14ac:dyDescent="0.45">
      <c r="A63" s="16" t="str">
        <f t="shared" si="0"/>
        <v>3B</v>
      </c>
      <c r="B63" s="16">
        <v>1</v>
      </c>
      <c r="C63" s="16" t="s">
        <v>97</v>
      </c>
      <c r="D63" s="16"/>
      <c r="E63" s="16" t="s">
        <v>93</v>
      </c>
      <c r="F63" s="39"/>
      <c r="G63" s="39"/>
      <c r="H63" s="16"/>
      <c r="I63" s="42" t="s">
        <v>25</v>
      </c>
      <c r="J63" s="42" t="s">
        <v>25</v>
      </c>
      <c r="K63" s="42" t="s">
        <v>25</v>
      </c>
      <c r="L63" s="42"/>
      <c r="M63" s="87"/>
    </row>
    <row r="64" spans="1:13" ht="17" x14ac:dyDescent="0.45">
      <c r="A64" s="16" t="str">
        <f t="shared" si="0"/>
        <v>3C</v>
      </c>
      <c r="B64" s="16">
        <v>1</v>
      </c>
      <c r="C64" s="16" t="s">
        <v>98</v>
      </c>
      <c r="D64" s="16"/>
      <c r="E64" s="16" t="s">
        <v>99</v>
      </c>
      <c r="F64" s="39">
        <v>1</v>
      </c>
      <c r="G64" s="39"/>
      <c r="H64" s="16"/>
      <c r="I64" s="12"/>
      <c r="J64" s="12"/>
      <c r="K64" s="12"/>
      <c r="L64" s="12"/>
      <c r="M64" s="39" t="s">
        <v>35</v>
      </c>
    </row>
    <row r="65" spans="1:13" ht="17" x14ac:dyDescent="0.45">
      <c r="A65" s="16" t="str">
        <f t="shared" si="0"/>
        <v>3D</v>
      </c>
      <c r="B65" s="16">
        <v>1</v>
      </c>
      <c r="C65" s="16" t="s">
        <v>100</v>
      </c>
      <c r="D65" s="16"/>
      <c r="E65" s="16" t="s">
        <v>24</v>
      </c>
      <c r="F65" s="39">
        <v>1</v>
      </c>
      <c r="G65" s="39"/>
      <c r="H65" s="16"/>
      <c r="I65" s="12"/>
      <c r="J65" s="12"/>
      <c r="K65" s="12"/>
      <c r="L65" s="12"/>
      <c r="M65" s="39" t="s">
        <v>35</v>
      </c>
    </row>
    <row r="66" spans="1:13" ht="17" x14ac:dyDescent="0.45">
      <c r="A66" s="16" t="str">
        <f t="shared" si="0"/>
        <v>3E</v>
      </c>
      <c r="B66" s="16">
        <v>1</v>
      </c>
      <c r="C66" s="16" t="s">
        <v>101</v>
      </c>
      <c r="D66" s="16"/>
      <c r="E66" s="16" t="s">
        <v>99</v>
      </c>
      <c r="F66" s="39">
        <v>1</v>
      </c>
      <c r="G66" s="39"/>
      <c r="H66" s="16"/>
      <c r="I66" s="12"/>
      <c r="J66" s="12"/>
      <c r="K66" s="12"/>
      <c r="L66" s="12"/>
      <c r="M66" s="39" t="s">
        <v>35</v>
      </c>
    </row>
    <row r="67" spans="1:13" ht="17" x14ac:dyDescent="0.45">
      <c r="A67" s="16" t="str">
        <f t="shared" si="0"/>
        <v>3F</v>
      </c>
      <c r="B67" s="16">
        <v>1</v>
      </c>
      <c r="C67" s="16" t="s">
        <v>102</v>
      </c>
      <c r="D67" s="16"/>
      <c r="E67" s="16" t="s">
        <v>99</v>
      </c>
      <c r="F67" s="39">
        <v>1</v>
      </c>
      <c r="G67" s="39"/>
      <c r="H67" s="16"/>
      <c r="I67" s="12"/>
      <c r="J67" s="12"/>
      <c r="K67" s="12"/>
      <c r="L67" s="12"/>
      <c r="M67" s="39" t="s">
        <v>35</v>
      </c>
    </row>
    <row r="68" spans="1:13" ht="17" x14ac:dyDescent="0.45">
      <c r="A68" s="16" t="str">
        <f t="shared" si="0"/>
        <v>40</v>
      </c>
      <c r="B68" s="16">
        <v>1</v>
      </c>
      <c r="C68" s="16" t="s">
        <v>103</v>
      </c>
      <c r="D68" s="16"/>
      <c r="E68" s="16" t="s">
        <v>24</v>
      </c>
      <c r="F68" s="39">
        <v>0.1</v>
      </c>
      <c r="G68" s="39"/>
      <c r="H68" s="16"/>
      <c r="I68" s="12"/>
      <c r="J68" s="12"/>
      <c r="K68" s="12"/>
      <c r="L68" s="12"/>
      <c r="M68" s="39" t="s">
        <v>35</v>
      </c>
    </row>
    <row r="69" spans="1:13" ht="17" x14ac:dyDescent="0.45">
      <c r="A69" s="16" t="str">
        <f t="shared" ref="A69:A94" si="1">DEC2HEX(HEX2DEC(A68)+B68)</f>
        <v>41</v>
      </c>
      <c r="B69" s="16">
        <v>1</v>
      </c>
      <c r="C69" s="16" t="s">
        <v>104</v>
      </c>
      <c r="D69" s="16"/>
      <c r="E69" s="16" t="s">
        <v>24</v>
      </c>
      <c r="F69" s="39">
        <v>0.1</v>
      </c>
      <c r="G69" s="39"/>
      <c r="H69" s="16"/>
      <c r="I69" s="12"/>
      <c r="J69" s="12"/>
      <c r="K69" s="12"/>
      <c r="L69" s="12"/>
      <c r="M69" s="39" t="s">
        <v>35</v>
      </c>
    </row>
    <row r="70" spans="1:13" ht="17" x14ac:dyDescent="0.45">
      <c r="A70" s="16" t="str">
        <f t="shared" si="1"/>
        <v>42</v>
      </c>
      <c r="B70" s="16">
        <v>1</v>
      </c>
      <c r="C70" s="16" t="s">
        <v>105</v>
      </c>
      <c r="D70" s="16"/>
      <c r="E70" s="16" t="s">
        <v>106</v>
      </c>
      <c r="F70" s="39">
        <v>0.01</v>
      </c>
      <c r="G70" s="39"/>
      <c r="H70" s="16"/>
      <c r="I70" s="42"/>
      <c r="J70" s="42"/>
      <c r="K70" s="49"/>
      <c r="L70" s="12"/>
      <c r="M70" s="39" t="s">
        <v>35</v>
      </c>
    </row>
    <row r="71" spans="1:13" ht="17" x14ac:dyDescent="0.45">
      <c r="A71" s="16" t="str">
        <f t="shared" si="1"/>
        <v>43</v>
      </c>
      <c r="B71" s="16">
        <v>1</v>
      </c>
      <c r="C71" s="16" t="s">
        <v>107</v>
      </c>
      <c r="D71" s="16"/>
      <c r="E71" s="16" t="s">
        <v>106</v>
      </c>
      <c r="F71" s="39">
        <v>0.01</v>
      </c>
      <c r="G71" s="39"/>
      <c r="H71" s="16"/>
      <c r="I71" s="42"/>
      <c r="J71" s="42"/>
      <c r="K71" s="49"/>
      <c r="L71" s="12"/>
      <c r="M71" s="39" t="s">
        <v>35</v>
      </c>
    </row>
    <row r="72" spans="1:13" ht="29" x14ac:dyDescent="0.45">
      <c r="A72" s="16" t="str">
        <f t="shared" si="1"/>
        <v>44</v>
      </c>
      <c r="B72" s="16">
        <v>1</v>
      </c>
      <c r="C72" s="16" t="s">
        <v>108</v>
      </c>
      <c r="D72" s="16"/>
      <c r="E72" s="16" t="s">
        <v>106</v>
      </c>
      <c r="F72" s="39">
        <v>0.01</v>
      </c>
      <c r="G72" s="39"/>
      <c r="H72" s="16"/>
      <c r="I72" s="42"/>
      <c r="J72" s="42"/>
      <c r="K72" s="49" t="s">
        <v>25</v>
      </c>
      <c r="L72" s="12"/>
      <c r="M72" s="50" t="s">
        <v>109</v>
      </c>
    </row>
    <row r="73" spans="1:13" ht="17" x14ac:dyDescent="0.45">
      <c r="A73" s="16" t="str">
        <f t="shared" si="1"/>
        <v>45</v>
      </c>
      <c r="B73" s="16">
        <v>1</v>
      </c>
      <c r="C73" s="16" t="s">
        <v>110</v>
      </c>
      <c r="D73" s="16"/>
      <c r="E73" s="16"/>
      <c r="F73" s="39"/>
      <c r="G73" s="39"/>
      <c r="H73" s="16"/>
      <c r="I73" s="42"/>
      <c r="J73" s="42"/>
      <c r="K73" s="49"/>
      <c r="L73" s="12"/>
      <c r="M73" s="50"/>
    </row>
    <row r="74" spans="1:13" s="36" customFormat="1" ht="17" x14ac:dyDescent="0.45">
      <c r="A74" s="15" t="str">
        <f t="shared" si="1"/>
        <v>46</v>
      </c>
      <c r="B74" s="15">
        <v>2</v>
      </c>
      <c r="C74" s="15" t="s">
        <v>73</v>
      </c>
      <c r="D74" s="15"/>
      <c r="E74" s="15" t="s">
        <v>69</v>
      </c>
      <c r="F74" s="51"/>
      <c r="G74" s="51">
        <v>-40</v>
      </c>
      <c r="H74" s="15"/>
      <c r="I74" s="52"/>
      <c r="J74" s="52"/>
      <c r="K74" s="48"/>
      <c r="L74" s="53"/>
      <c r="M74" s="46"/>
    </row>
    <row r="75" spans="1:13" s="37" customFormat="1" ht="17" x14ac:dyDescent="0.45">
      <c r="A75" s="16" t="str">
        <f t="shared" si="1"/>
        <v>48</v>
      </c>
      <c r="B75" s="54">
        <v>1</v>
      </c>
      <c r="C75" s="54" t="s">
        <v>111</v>
      </c>
      <c r="D75" s="54"/>
      <c r="E75" s="54" t="s">
        <v>112</v>
      </c>
      <c r="F75" s="55">
        <v>0.01</v>
      </c>
      <c r="G75" s="55">
        <v>-30000</v>
      </c>
      <c r="H75" s="54"/>
      <c r="I75" s="56"/>
      <c r="J75" s="56"/>
      <c r="K75" s="57"/>
      <c r="L75" s="58"/>
      <c r="M75" s="59" t="s">
        <v>113</v>
      </c>
    </row>
    <row r="76" spans="1:13" ht="17" x14ac:dyDescent="0.45">
      <c r="A76" s="19" t="str">
        <f t="shared" si="1"/>
        <v>49</v>
      </c>
      <c r="B76" s="19">
        <v>1</v>
      </c>
      <c r="C76" s="19" t="s">
        <v>114</v>
      </c>
      <c r="D76" s="19"/>
      <c r="E76" s="19" t="s">
        <v>24</v>
      </c>
      <c r="F76" s="60">
        <v>0.1</v>
      </c>
      <c r="G76" s="60"/>
      <c r="H76" s="19"/>
      <c r="I76" s="61"/>
      <c r="J76" s="61"/>
      <c r="K76" s="61"/>
      <c r="L76" s="20"/>
      <c r="M76" s="60"/>
    </row>
    <row r="77" spans="1:13" ht="17" x14ac:dyDescent="0.45">
      <c r="A77" s="16" t="str">
        <f t="shared" si="1"/>
        <v>4A</v>
      </c>
      <c r="B77" s="16">
        <v>1</v>
      </c>
      <c r="C77" s="16" t="s">
        <v>115</v>
      </c>
      <c r="D77" s="16"/>
      <c r="E77" s="16" t="s">
        <v>69</v>
      </c>
      <c r="F77" s="39"/>
      <c r="G77" s="39">
        <v>-40</v>
      </c>
      <c r="H77" s="16"/>
      <c r="I77" s="42"/>
      <c r="J77" s="42"/>
      <c r="K77" s="49"/>
      <c r="L77" s="12"/>
      <c r="M77" s="50"/>
    </row>
    <row r="78" spans="1:13" ht="17" x14ac:dyDescent="0.45">
      <c r="A78" s="16" t="str">
        <f t="shared" si="1"/>
        <v>4B</v>
      </c>
      <c r="B78" s="16">
        <v>1</v>
      </c>
      <c r="C78" s="16" t="s">
        <v>116</v>
      </c>
      <c r="D78" s="16"/>
      <c r="E78" s="16" t="s">
        <v>93</v>
      </c>
      <c r="F78" s="39">
        <v>0.01</v>
      </c>
      <c r="G78" s="39"/>
      <c r="H78" s="16"/>
      <c r="I78" s="42"/>
      <c r="J78" s="42"/>
      <c r="K78" s="49"/>
      <c r="L78" s="12"/>
      <c r="M78" s="50"/>
    </row>
    <row r="79" spans="1:13" ht="17" x14ac:dyDescent="0.45">
      <c r="A79" s="16" t="str">
        <f t="shared" si="1"/>
        <v>4C</v>
      </c>
      <c r="B79" s="16">
        <v>1</v>
      </c>
      <c r="C79" s="16" t="s">
        <v>117</v>
      </c>
      <c r="D79" s="16"/>
      <c r="E79" s="16" t="s">
        <v>93</v>
      </c>
      <c r="F79" s="39">
        <v>0.01</v>
      </c>
      <c r="G79" s="39"/>
      <c r="H79" s="16"/>
      <c r="I79" s="42"/>
      <c r="J79" s="42"/>
      <c r="K79" s="49"/>
      <c r="L79" s="12"/>
      <c r="M79" s="50"/>
    </row>
    <row r="80" spans="1:13" ht="17" x14ac:dyDescent="0.45">
      <c r="A80" s="16" t="str">
        <f t="shared" si="1"/>
        <v>4D</v>
      </c>
      <c r="B80" s="16">
        <v>1</v>
      </c>
      <c r="C80" s="16" t="s">
        <v>118</v>
      </c>
      <c r="D80" s="16"/>
      <c r="E80" s="16" t="s">
        <v>112</v>
      </c>
      <c r="F80" s="39">
        <v>0.01</v>
      </c>
      <c r="G80" s="39"/>
      <c r="H80" s="16"/>
      <c r="I80" s="42"/>
      <c r="J80" s="42"/>
      <c r="K80" s="49"/>
      <c r="L80" s="12"/>
      <c r="M80" s="50"/>
    </row>
    <row r="81" spans="1:17" ht="17" x14ac:dyDescent="0.45">
      <c r="A81" s="16" t="str">
        <f t="shared" si="1"/>
        <v>4E</v>
      </c>
      <c r="B81" s="16">
        <v>1</v>
      </c>
      <c r="C81" s="16" t="s">
        <v>119</v>
      </c>
      <c r="D81" s="16"/>
      <c r="E81" s="16" t="s">
        <v>112</v>
      </c>
      <c r="F81" s="39">
        <v>0.01</v>
      </c>
      <c r="G81" s="39"/>
      <c r="H81" s="16"/>
      <c r="I81" s="42"/>
      <c r="J81" s="42"/>
      <c r="K81" s="49"/>
      <c r="L81" s="12"/>
      <c r="M81" s="50"/>
    </row>
    <row r="82" spans="1:17" ht="34" x14ac:dyDescent="0.45">
      <c r="A82" s="16" t="str">
        <f t="shared" si="1"/>
        <v>4F</v>
      </c>
      <c r="B82" s="16">
        <v>1</v>
      </c>
      <c r="C82" s="16" t="s">
        <v>120</v>
      </c>
      <c r="D82" s="16"/>
      <c r="E82" s="16"/>
      <c r="F82" s="39"/>
      <c r="G82" s="39"/>
      <c r="H82" s="16" t="s">
        <v>121</v>
      </c>
      <c r="I82" s="42"/>
      <c r="J82" s="42"/>
      <c r="K82" s="49"/>
      <c r="L82" s="12"/>
      <c r="M82" s="50"/>
    </row>
    <row r="83" spans="1:17" ht="272" x14ac:dyDescent="0.45">
      <c r="A83" s="16" t="str">
        <f t="shared" si="1"/>
        <v>50</v>
      </c>
      <c r="B83" s="16">
        <v>1</v>
      </c>
      <c r="C83" s="16" t="s">
        <v>122</v>
      </c>
      <c r="D83" s="16"/>
      <c r="E83" s="16"/>
      <c r="F83" s="16"/>
      <c r="G83" s="16"/>
      <c r="H83" s="16" t="s">
        <v>123</v>
      </c>
      <c r="I83" s="42"/>
      <c r="J83" s="42"/>
      <c r="K83" s="42" t="s">
        <v>25</v>
      </c>
      <c r="L83" s="12"/>
      <c r="M83" s="16"/>
    </row>
    <row r="84" spans="1:17" ht="272" x14ac:dyDescent="0.45">
      <c r="A84" s="16" t="str">
        <f t="shared" si="1"/>
        <v>51</v>
      </c>
      <c r="B84" s="16">
        <v>1</v>
      </c>
      <c r="C84" s="16" t="s">
        <v>124</v>
      </c>
      <c r="D84" s="16"/>
      <c r="E84" s="16"/>
      <c r="F84" s="16"/>
      <c r="G84" s="16"/>
      <c r="H84" s="43" t="s">
        <v>125</v>
      </c>
      <c r="I84" s="42"/>
      <c r="J84" s="42"/>
      <c r="K84" s="42" t="s">
        <v>25</v>
      </c>
      <c r="L84" s="12"/>
      <c r="M84" s="16" t="s">
        <v>126</v>
      </c>
    </row>
    <row r="85" spans="1:17" ht="17" x14ac:dyDescent="0.45">
      <c r="A85" s="16" t="str">
        <f t="shared" si="1"/>
        <v>52</v>
      </c>
      <c r="B85" s="16">
        <v>14</v>
      </c>
      <c r="C85" s="16" t="s">
        <v>73</v>
      </c>
      <c r="D85" s="16"/>
      <c r="E85" s="16"/>
      <c r="F85" s="16"/>
      <c r="G85" s="16"/>
      <c r="H85" s="16"/>
      <c r="I85" s="42"/>
      <c r="J85" s="42"/>
      <c r="K85" s="42"/>
      <c r="L85" s="12"/>
      <c r="M85" s="16"/>
    </row>
    <row r="86" spans="1:17" ht="272" x14ac:dyDescent="0.45">
      <c r="A86" s="16" t="str">
        <f t="shared" si="1"/>
        <v>60</v>
      </c>
      <c r="B86" s="16">
        <v>1</v>
      </c>
      <c r="C86" s="16" t="s">
        <v>127</v>
      </c>
      <c r="D86" s="16"/>
      <c r="E86" s="16"/>
      <c r="F86" s="16"/>
      <c r="G86" s="16"/>
      <c r="H86" s="16" t="s">
        <v>128</v>
      </c>
      <c r="I86" s="42"/>
      <c r="J86" s="42"/>
      <c r="K86" s="42"/>
      <c r="L86" s="12"/>
      <c r="M86" s="16"/>
    </row>
    <row r="87" spans="1:17" ht="272" x14ac:dyDescent="0.45">
      <c r="A87" s="16" t="str">
        <f t="shared" si="1"/>
        <v>61</v>
      </c>
      <c r="B87" s="16">
        <v>1</v>
      </c>
      <c r="C87" s="16" t="s">
        <v>129</v>
      </c>
      <c r="D87" s="16"/>
      <c r="E87" s="16"/>
      <c r="F87" s="16"/>
      <c r="G87" s="16"/>
      <c r="H87" s="43" t="s">
        <v>130</v>
      </c>
      <c r="I87" s="42"/>
      <c r="J87" s="42"/>
      <c r="K87" s="42"/>
      <c r="L87" s="12"/>
      <c r="M87" s="16"/>
    </row>
    <row r="88" spans="1:17" ht="323" x14ac:dyDescent="0.45">
      <c r="A88" s="16" t="str">
        <f t="shared" si="1"/>
        <v>62</v>
      </c>
      <c r="B88" s="16">
        <v>1</v>
      </c>
      <c r="C88" s="16" t="s">
        <v>131</v>
      </c>
      <c r="D88" s="16"/>
      <c r="E88" s="16"/>
      <c r="F88" s="16"/>
      <c r="G88" s="16"/>
      <c r="H88" s="16" t="s">
        <v>132</v>
      </c>
      <c r="I88" s="42"/>
      <c r="J88" s="42"/>
      <c r="K88" s="42"/>
      <c r="L88" s="12"/>
      <c r="M88" s="16"/>
    </row>
    <row r="89" spans="1:17" ht="204" x14ac:dyDescent="0.45">
      <c r="A89" s="16" t="str">
        <f t="shared" si="1"/>
        <v>63</v>
      </c>
      <c r="B89" s="16">
        <v>1</v>
      </c>
      <c r="C89" s="16" t="s">
        <v>133</v>
      </c>
      <c r="D89" s="16"/>
      <c r="E89" s="16"/>
      <c r="F89" s="16"/>
      <c r="G89" s="16"/>
      <c r="H89" s="43" t="s">
        <v>134</v>
      </c>
      <c r="I89" s="42"/>
      <c r="J89" s="42"/>
      <c r="K89" s="42"/>
      <c r="L89" s="12"/>
      <c r="M89" s="16"/>
    </row>
    <row r="90" spans="1:17" ht="76.5" customHeight="1" x14ac:dyDescent="0.45">
      <c r="A90" s="16" t="str">
        <f t="shared" si="1"/>
        <v>64</v>
      </c>
      <c r="B90" s="16">
        <v>12</v>
      </c>
      <c r="C90" s="16" t="s">
        <v>73</v>
      </c>
      <c r="D90" s="16"/>
      <c r="E90" s="16"/>
      <c r="F90" s="16"/>
      <c r="G90" s="16"/>
      <c r="H90" s="16"/>
      <c r="I90" s="42"/>
      <c r="J90" s="42"/>
      <c r="K90" s="42"/>
      <c r="L90" s="12"/>
      <c r="M90" s="16"/>
      <c r="Q90" s="1" t="s">
        <v>135</v>
      </c>
    </row>
    <row r="91" spans="1:17" ht="184.5" customHeight="1" x14ac:dyDescent="0.45">
      <c r="A91" s="16" t="str">
        <f t="shared" si="1"/>
        <v>70</v>
      </c>
      <c r="B91" s="16">
        <v>1</v>
      </c>
      <c r="C91" s="16" t="s">
        <v>136</v>
      </c>
      <c r="D91" s="16"/>
      <c r="E91" s="16"/>
      <c r="F91" s="16"/>
      <c r="G91" s="16"/>
      <c r="H91" s="16" t="s">
        <v>137</v>
      </c>
      <c r="I91" s="42"/>
      <c r="J91" s="42"/>
      <c r="K91" s="42"/>
      <c r="L91" s="12"/>
      <c r="M91" s="16"/>
    </row>
    <row r="92" spans="1:17" ht="68" x14ac:dyDescent="0.45">
      <c r="A92" s="16" t="str">
        <f t="shared" si="1"/>
        <v>71</v>
      </c>
      <c r="B92" s="16">
        <v>1</v>
      </c>
      <c r="C92" s="16" t="s">
        <v>138</v>
      </c>
      <c r="D92" s="16"/>
      <c r="E92" s="16"/>
      <c r="F92" s="16"/>
      <c r="G92" s="16"/>
      <c r="H92" s="16" t="s">
        <v>139</v>
      </c>
      <c r="I92" s="42"/>
      <c r="J92" s="42"/>
      <c r="K92" s="42"/>
      <c r="L92" s="12"/>
      <c r="M92" s="16"/>
    </row>
    <row r="93" spans="1:17" ht="75" x14ac:dyDescent="0.45">
      <c r="A93" s="16" t="str">
        <f t="shared" si="1"/>
        <v>72</v>
      </c>
      <c r="B93" s="16">
        <v>1</v>
      </c>
      <c r="C93" s="16" t="s">
        <v>140</v>
      </c>
      <c r="D93" s="23"/>
      <c r="E93" s="23"/>
      <c r="F93" s="23"/>
      <c r="G93" s="23"/>
      <c r="H93" s="62" t="s">
        <v>141</v>
      </c>
      <c r="I93" s="42"/>
      <c r="J93" s="42"/>
      <c r="K93" s="42"/>
      <c r="L93" s="12"/>
      <c r="M93" s="16"/>
    </row>
    <row r="94" spans="1:17" ht="68" x14ac:dyDescent="0.45">
      <c r="A94" s="15" t="str">
        <f t="shared" si="1"/>
        <v>73</v>
      </c>
      <c r="B94" s="15">
        <v>1</v>
      </c>
      <c r="C94" s="15" t="s">
        <v>142</v>
      </c>
      <c r="D94" s="15"/>
      <c r="E94" s="15"/>
      <c r="F94" s="15"/>
      <c r="G94" s="15"/>
      <c r="H94" s="15" t="s">
        <v>143</v>
      </c>
      <c r="I94" s="42"/>
      <c r="J94" s="42"/>
      <c r="K94" s="42"/>
      <c r="L94" s="12"/>
      <c r="M94" s="16"/>
    </row>
    <row r="95" spans="1:17" ht="17" x14ac:dyDescent="0.45">
      <c r="A95" s="16"/>
      <c r="B95" s="16"/>
      <c r="C95" s="16"/>
      <c r="D95" s="16"/>
      <c r="E95" s="16"/>
      <c r="F95" s="16"/>
      <c r="G95" s="16"/>
      <c r="H95" s="16"/>
      <c r="I95" s="42"/>
      <c r="J95" s="42"/>
      <c r="K95" s="42"/>
      <c r="L95" s="12"/>
      <c r="M95" s="16"/>
    </row>
    <row r="96" spans="1:17" ht="17" x14ac:dyDescent="0.45">
      <c r="A96" s="16"/>
      <c r="B96" s="16"/>
      <c r="C96" s="16"/>
      <c r="D96" s="16"/>
      <c r="E96" s="16"/>
      <c r="F96" s="16"/>
      <c r="G96" s="16"/>
      <c r="H96" s="16"/>
      <c r="I96" s="42"/>
      <c r="J96" s="42"/>
      <c r="K96" s="42"/>
      <c r="L96" s="12"/>
      <c r="M96" s="16"/>
    </row>
    <row r="97" spans="1:13" ht="17" x14ac:dyDescent="0.45">
      <c r="A97" s="16"/>
      <c r="B97" s="16"/>
      <c r="C97" s="16"/>
      <c r="D97" s="23"/>
      <c r="E97" s="23"/>
      <c r="F97" s="23"/>
      <c r="G97" s="23"/>
      <c r="H97" s="16"/>
      <c r="I97" s="63"/>
      <c r="J97" s="63"/>
      <c r="K97" s="63"/>
      <c r="L97" s="63"/>
      <c r="M97" s="23"/>
    </row>
    <row r="98" spans="1:13" ht="17" x14ac:dyDescent="0.45">
      <c r="A98" s="16"/>
      <c r="B98" s="16"/>
      <c r="C98" s="16"/>
      <c r="D98" s="23"/>
      <c r="E98" s="23"/>
      <c r="F98" s="23"/>
      <c r="G98" s="23"/>
      <c r="H98" s="62"/>
      <c r="I98" s="63"/>
      <c r="J98" s="63"/>
      <c r="K98" s="63"/>
      <c r="L98" s="63"/>
      <c r="M98" s="23"/>
    </row>
    <row r="99" spans="1:13" ht="17" x14ac:dyDescent="0.45">
      <c r="A99" s="16"/>
      <c r="B99" s="16"/>
      <c r="C99" s="16"/>
      <c r="D99" s="23"/>
      <c r="E99" s="23"/>
      <c r="F99" s="23"/>
      <c r="G99" s="23"/>
      <c r="H99" s="23"/>
      <c r="I99" s="63"/>
      <c r="J99" s="63"/>
      <c r="K99" s="63"/>
      <c r="L99" s="63"/>
      <c r="M99" s="23"/>
    </row>
  </sheetData>
  <sheetProtection formatCells="0" formatColumns="0" formatRows="0" insertColumns="0" insertRows="0" insertHyperlinks="0" deleteColumns="0" deleteRows="0" sort="0" autoFilter="0" pivotTables="0"/>
  <mergeCells count="6">
    <mergeCell ref="M60:M63"/>
    <mergeCell ref="A2:M2"/>
    <mergeCell ref="I4:I5"/>
    <mergeCell ref="J4:J5"/>
    <mergeCell ref="K4:K5"/>
    <mergeCell ref="M4:M5"/>
  </mergeCells>
  <phoneticPr fontId="29" type="noConversion"/>
  <pageMargins left="0.75196850393700798" right="0.75196850393700798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J52"/>
  <sheetViews>
    <sheetView topLeftCell="A21" workbookViewId="0">
      <selection activeCell="G40" sqref="G40"/>
    </sheetView>
  </sheetViews>
  <sheetFormatPr defaultColWidth="8" defaultRowHeight="17" customHeight="1" x14ac:dyDescent="0.45"/>
  <cols>
    <col min="1" max="1" width="17.61328125" style="1" customWidth="1"/>
    <col min="2" max="2" width="13.84375" style="1" customWidth="1"/>
    <col min="3" max="3" width="22.23046875" style="1" customWidth="1"/>
    <col min="4" max="4" width="38.23046875" style="1" customWidth="1"/>
    <col min="5" max="16384" width="8" style="1"/>
  </cols>
  <sheetData>
    <row r="2" spans="1:10" s="9" customFormat="1" ht="89.25" customHeight="1" x14ac:dyDescent="0.45">
      <c r="A2" s="94" t="s">
        <v>144</v>
      </c>
      <c r="B2" s="94"/>
      <c r="C2" s="94"/>
      <c r="D2" s="94"/>
      <c r="E2" s="94"/>
    </row>
    <row r="3" spans="1:10" x14ac:dyDescent="0.45">
      <c r="A3" s="28" t="s">
        <v>145</v>
      </c>
      <c r="B3" s="28" t="s">
        <v>146</v>
      </c>
      <c r="C3" s="28" t="s">
        <v>14</v>
      </c>
      <c r="D3" s="28" t="s">
        <v>147</v>
      </c>
      <c r="E3" s="28" t="s">
        <v>11</v>
      </c>
      <c r="F3" s="93"/>
      <c r="G3" s="93"/>
      <c r="H3" s="93"/>
      <c r="I3" s="93"/>
      <c r="J3" s="93"/>
    </row>
    <row r="4" spans="1:10" ht="14" x14ac:dyDescent="0.45">
      <c r="A4" s="95" t="s">
        <v>148</v>
      </c>
      <c r="B4" s="95"/>
      <c r="C4" s="95"/>
      <c r="D4" s="95"/>
      <c r="E4" s="95"/>
      <c r="F4" s="93"/>
      <c r="G4" s="93"/>
      <c r="H4" s="93"/>
      <c r="I4" s="93"/>
      <c r="J4" s="93"/>
    </row>
    <row r="5" spans="1:10" ht="14" x14ac:dyDescent="0.45">
      <c r="A5" s="95" t="s">
        <v>149</v>
      </c>
      <c r="B5" s="95"/>
      <c r="C5" s="95"/>
      <c r="D5" s="95"/>
      <c r="E5" s="95"/>
      <c r="F5" s="93"/>
      <c r="G5" s="93"/>
      <c r="H5" s="93"/>
      <c r="I5" s="93"/>
      <c r="J5" s="93"/>
    </row>
    <row r="6" spans="1:10" ht="17.25" customHeight="1" x14ac:dyDescent="0.45">
      <c r="A6" s="26" t="str">
        <f>DEC2HEX(4096)</f>
        <v>1000</v>
      </c>
      <c r="B6" s="26">
        <v>104</v>
      </c>
      <c r="C6" s="26" t="s">
        <v>150</v>
      </c>
      <c r="D6" s="26" t="s">
        <v>151</v>
      </c>
      <c r="E6" s="29"/>
      <c r="F6" s="93"/>
      <c r="G6" s="93"/>
      <c r="H6" s="93"/>
      <c r="I6" s="93"/>
      <c r="J6" s="93"/>
    </row>
    <row r="7" spans="1:10" ht="17.25" customHeight="1" x14ac:dyDescent="0.45">
      <c r="A7" s="26" t="str">
        <f t="shared" ref="A7:A17" si="0">DEC2HEX(HEX2DEC(A6)+B6)</f>
        <v>1068</v>
      </c>
      <c r="B7" s="26">
        <v>56</v>
      </c>
      <c r="C7" s="26" t="s">
        <v>73</v>
      </c>
      <c r="D7" s="26"/>
      <c r="E7" s="29"/>
      <c r="F7" s="93"/>
      <c r="G7" s="93"/>
      <c r="H7" s="93"/>
      <c r="I7" s="93"/>
      <c r="J7" s="93"/>
    </row>
    <row r="8" spans="1:10" ht="28" x14ac:dyDescent="0.45">
      <c r="A8" s="26" t="str">
        <f t="shared" si="0"/>
        <v>10A0</v>
      </c>
      <c r="B8" s="26">
        <v>1</v>
      </c>
      <c r="C8" s="26" t="s">
        <v>152</v>
      </c>
      <c r="D8" s="30" t="s">
        <v>153</v>
      </c>
      <c r="E8" s="29"/>
      <c r="F8" s="93"/>
      <c r="G8" s="93"/>
      <c r="H8" s="93"/>
      <c r="I8" s="93"/>
      <c r="J8" s="93"/>
    </row>
    <row r="9" spans="1:10" ht="17.25" customHeight="1" x14ac:dyDescent="0.45">
      <c r="A9" s="26" t="str">
        <f t="shared" si="0"/>
        <v>10A1</v>
      </c>
      <c r="B9" s="26">
        <v>1</v>
      </c>
      <c r="C9" s="26" t="s">
        <v>154</v>
      </c>
      <c r="D9" s="26"/>
      <c r="E9" s="29"/>
      <c r="F9" s="93"/>
      <c r="G9" s="93"/>
      <c r="H9" s="93"/>
      <c r="I9" s="93"/>
      <c r="J9" s="93"/>
    </row>
    <row r="10" spans="1:10" ht="17.25" customHeight="1" x14ac:dyDescent="0.45">
      <c r="A10" s="26" t="str">
        <f t="shared" si="0"/>
        <v>10A2</v>
      </c>
      <c r="B10" s="26">
        <v>1</v>
      </c>
      <c r="C10" s="26" t="s">
        <v>155</v>
      </c>
      <c r="D10" s="26"/>
      <c r="E10" s="29"/>
      <c r="F10" s="93"/>
      <c r="G10" s="93"/>
      <c r="H10" s="93"/>
      <c r="I10" s="93"/>
      <c r="J10" s="93"/>
    </row>
    <row r="11" spans="1:10" ht="17.25" customHeight="1" x14ac:dyDescent="0.45">
      <c r="A11" s="26" t="str">
        <f t="shared" si="0"/>
        <v>10A3</v>
      </c>
      <c r="B11" s="26">
        <v>1</v>
      </c>
      <c r="C11" s="26" t="s">
        <v>156</v>
      </c>
      <c r="D11" s="26"/>
      <c r="E11" s="29"/>
      <c r="F11" s="93"/>
      <c r="G11" s="93"/>
      <c r="H11" s="93"/>
      <c r="I11" s="93"/>
      <c r="J11" s="93"/>
    </row>
    <row r="12" spans="1:10" ht="17.25" customHeight="1" x14ac:dyDescent="0.45">
      <c r="A12" s="26" t="str">
        <f t="shared" si="0"/>
        <v>10A4</v>
      </c>
      <c r="B12" s="26">
        <v>1</v>
      </c>
      <c r="C12" s="26" t="s">
        <v>157</v>
      </c>
      <c r="D12" s="26"/>
      <c r="E12" s="29"/>
      <c r="F12" s="93"/>
      <c r="G12" s="93"/>
      <c r="H12" s="93"/>
      <c r="I12" s="93"/>
      <c r="J12" s="93"/>
    </row>
    <row r="13" spans="1:10" ht="17.25" customHeight="1" x14ac:dyDescent="0.45">
      <c r="A13" s="26" t="str">
        <f t="shared" si="0"/>
        <v>10A5</v>
      </c>
      <c r="B13" s="26">
        <v>1</v>
      </c>
      <c r="C13" s="26" t="s">
        <v>158</v>
      </c>
      <c r="D13" s="26"/>
      <c r="E13" s="29"/>
      <c r="F13" s="93"/>
      <c r="G13" s="93"/>
      <c r="H13" s="93"/>
      <c r="I13" s="93"/>
      <c r="J13" s="93"/>
    </row>
    <row r="14" spans="1:10" ht="17.25" customHeight="1" x14ac:dyDescent="0.45">
      <c r="A14" s="26" t="str">
        <f t="shared" si="0"/>
        <v>10A6</v>
      </c>
      <c r="B14" s="26">
        <v>1</v>
      </c>
      <c r="C14" s="26" t="s">
        <v>159</v>
      </c>
      <c r="D14" s="26"/>
      <c r="E14" s="29"/>
      <c r="F14" s="93"/>
      <c r="G14" s="93"/>
      <c r="H14" s="93"/>
      <c r="I14" s="93"/>
      <c r="J14" s="93"/>
    </row>
    <row r="15" spans="1:10" ht="17.25" customHeight="1" x14ac:dyDescent="0.45">
      <c r="A15" s="26" t="str">
        <f t="shared" si="0"/>
        <v>10A7</v>
      </c>
      <c r="B15" s="26">
        <v>9</v>
      </c>
      <c r="C15" s="26" t="s">
        <v>73</v>
      </c>
      <c r="D15" s="26"/>
      <c r="E15" s="29"/>
      <c r="F15" s="93"/>
      <c r="G15" s="93"/>
      <c r="H15" s="93"/>
      <c r="I15" s="93"/>
      <c r="J15" s="93"/>
    </row>
    <row r="16" spans="1:10" ht="17.25" customHeight="1" x14ac:dyDescent="0.45">
      <c r="A16" s="26" t="str">
        <f t="shared" si="0"/>
        <v>10B0</v>
      </c>
      <c r="B16" s="26">
        <v>40</v>
      </c>
      <c r="C16" s="26" t="s">
        <v>160</v>
      </c>
      <c r="D16" s="26" t="s">
        <v>70</v>
      </c>
      <c r="E16" s="29"/>
    </row>
    <row r="17" spans="1:6" ht="17.25" customHeight="1" x14ac:dyDescent="0.45">
      <c r="A17" s="26" t="str">
        <f t="shared" si="0"/>
        <v>10D8</v>
      </c>
      <c r="B17" s="26">
        <v>40</v>
      </c>
      <c r="C17" s="26" t="s">
        <v>73</v>
      </c>
      <c r="D17" s="26"/>
      <c r="E17" s="29"/>
    </row>
    <row r="18" spans="1:6" ht="17.25" customHeight="1" x14ac:dyDescent="0.45">
      <c r="A18" s="95" t="s">
        <v>161</v>
      </c>
      <c r="B18" s="95"/>
      <c r="C18" s="95"/>
      <c r="D18" s="95"/>
      <c r="E18" s="95"/>
      <c r="F18"/>
    </row>
    <row r="19" spans="1:6" ht="17.25" customHeight="1" x14ac:dyDescent="0.45">
      <c r="A19" s="26" t="str">
        <f>DEC2HEX(HEX2DEC(A17)+B17)</f>
        <v>1100</v>
      </c>
      <c r="B19" s="26">
        <v>1</v>
      </c>
      <c r="C19" s="26" t="s">
        <v>162</v>
      </c>
      <c r="D19" s="26" t="s">
        <v>151</v>
      </c>
      <c r="E19" s="29"/>
    </row>
    <row r="20" spans="1:6" ht="17.25" customHeight="1" x14ac:dyDescent="0.45">
      <c r="A20" s="26" t="str">
        <f t="shared" ref="A20:A48" si="1">DEC2HEX(HEX2DEC(A19)+B19)</f>
        <v>1101</v>
      </c>
      <c r="B20" s="26">
        <v>1</v>
      </c>
      <c r="C20" s="26" t="s">
        <v>163</v>
      </c>
      <c r="D20" s="26"/>
      <c r="E20" s="29"/>
    </row>
    <row r="21" spans="1:6" ht="17.25" customHeight="1" x14ac:dyDescent="0.45">
      <c r="A21" s="26" t="str">
        <f t="shared" si="1"/>
        <v>1102</v>
      </c>
      <c r="B21" s="26">
        <v>1</v>
      </c>
      <c r="C21" s="26" t="s">
        <v>164</v>
      </c>
      <c r="D21" s="26" t="s">
        <v>151</v>
      </c>
      <c r="E21" s="29"/>
    </row>
    <row r="22" spans="1:6" ht="17.25" customHeight="1" x14ac:dyDescent="0.45">
      <c r="A22" s="26" t="str">
        <f t="shared" si="1"/>
        <v>1103</v>
      </c>
      <c r="B22" s="26">
        <v>1</v>
      </c>
      <c r="C22" s="26" t="s">
        <v>165</v>
      </c>
      <c r="D22" s="26"/>
      <c r="E22" s="29"/>
    </row>
    <row r="23" spans="1:6" ht="17.25" customHeight="1" x14ac:dyDescent="0.45">
      <c r="A23" s="26" t="str">
        <f t="shared" si="1"/>
        <v>1104</v>
      </c>
      <c r="B23" s="26">
        <v>1</v>
      </c>
      <c r="C23" s="26" t="s">
        <v>166</v>
      </c>
      <c r="D23" s="26" t="s">
        <v>151</v>
      </c>
      <c r="E23" s="29"/>
    </row>
    <row r="24" spans="1:6" ht="17.25" customHeight="1" x14ac:dyDescent="0.45">
      <c r="A24" s="26" t="str">
        <f t="shared" si="1"/>
        <v>1105</v>
      </c>
      <c r="B24" s="26">
        <v>1</v>
      </c>
      <c r="C24" s="26" t="s">
        <v>167</v>
      </c>
      <c r="D24" s="26" t="s">
        <v>70</v>
      </c>
      <c r="E24" s="29"/>
    </row>
    <row r="25" spans="1:6" ht="17.25" customHeight="1" x14ac:dyDescent="0.45">
      <c r="A25" s="26" t="str">
        <f t="shared" si="1"/>
        <v>1106</v>
      </c>
      <c r="B25" s="26">
        <v>1</v>
      </c>
      <c r="C25" s="26" t="s">
        <v>168</v>
      </c>
      <c r="D25" s="26"/>
      <c r="E25" s="29"/>
    </row>
    <row r="26" spans="1:6" ht="17.25" customHeight="1" x14ac:dyDescent="0.45">
      <c r="A26" s="26" t="str">
        <f t="shared" si="1"/>
        <v>1107</v>
      </c>
      <c r="B26" s="26">
        <v>1</v>
      </c>
      <c r="C26" s="26" t="s">
        <v>169</v>
      </c>
      <c r="D26" s="26" t="s">
        <v>70</v>
      </c>
      <c r="E26" s="29"/>
    </row>
    <row r="27" spans="1:6" ht="17.25" customHeight="1" x14ac:dyDescent="0.45">
      <c r="A27" s="26" t="str">
        <f t="shared" si="1"/>
        <v>1108</v>
      </c>
      <c r="B27" s="26">
        <v>1</v>
      </c>
      <c r="C27" s="26" t="s">
        <v>170</v>
      </c>
      <c r="D27" s="26"/>
      <c r="E27" s="29"/>
    </row>
    <row r="28" spans="1:6" ht="17.25" customHeight="1" x14ac:dyDescent="0.45">
      <c r="A28" s="26" t="str">
        <f t="shared" si="1"/>
        <v>1109</v>
      </c>
      <c r="B28" s="26">
        <v>1</v>
      </c>
      <c r="C28" s="26" t="s">
        <v>171</v>
      </c>
      <c r="D28" s="26"/>
      <c r="E28" s="29"/>
    </row>
    <row r="29" spans="1:6" ht="17.25" customHeight="1" x14ac:dyDescent="0.45">
      <c r="A29" s="31" t="str">
        <f t="shared" si="1"/>
        <v>110A</v>
      </c>
      <c r="B29" s="31">
        <v>1</v>
      </c>
      <c r="C29" s="31" t="s">
        <v>73</v>
      </c>
      <c r="D29" s="26" t="s">
        <v>70</v>
      </c>
      <c r="E29" s="29"/>
    </row>
    <row r="30" spans="1:6" ht="17.25" customHeight="1" x14ac:dyDescent="0.45">
      <c r="A30" s="31" t="str">
        <f t="shared" si="1"/>
        <v>110B</v>
      </c>
      <c r="B30" s="31">
        <v>1</v>
      </c>
      <c r="C30" s="31" t="s">
        <v>73</v>
      </c>
      <c r="D30" s="26"/>
      <c r="E30" s="29"/>
    </row>
    <row r="31" spans="1:6" ht="17.25" customHeight="1" x14ac:dyDescent="0.45">
      <c r="A31" s="31" t="str">
        <f t="shared" si="1"/>
        <v>110C</v>
      </c>
      <c r="B31" s="31">
        <v>1</v>
      </c>
      <c r="C31" s="31" t="s">
        <v>73</v>
      </c>
      <c r="D31" s="26" t="s">
        <v>70</v>
      </c>
      <c r="E31" s="29"/>
    </row>
    <row r="32" spans="1:6" ht="17.25" customHeight="1" x14ac:dyDescent="0.45">
      <c r="A32" s="31" t="str">
        <f t="shared" si="1"/>
        <v>110D</v>
      </c>
      <c r="B32" s="31">
        <v>1</v>
      </c>
      <c r="C32" s="31" t="s">
        <v>73</v>
      </c>
      <c r="D32" s="26"/>
      <c r="E32" s="29"/>
    </row>
    <row r="33" spans="1:7" ht="17.25" customHeight="1" x14ac:dyDescent="0.45">
      <c r="A33" s="31" t="str">
        <f t="shared" si="1"/>
        <v>110E</v>
      </c>
      <c r="B33" s="31">
        <v>1</v>
      </c>
      <c r="C33" s="31" t="s">
        <v>73</v>
      </c>
      <c r="D33" s="26"/>
      <c r="E33" s="29"/>
    </row>
    <row r="34" spans="1:7" ht="17.25" customHeight="1" x14ac:dyDescent="0.45">
      <c r="A34" s="26" t="str">
        <f t="shared" si="1"/>
        <v>110F</v>
      </c>
      <c r="B34" s="26">
        <v>1</v>
      </c>
      <c r="C34" s="26" t="s">
        <v>172</v>
      </c>
      <c r="D34" s="26" t="s">
        <v>173</v>
      </c>
      <c r="E34" s="29"/>
    </row>
    <row r="35" spans="1:7" ht="17.25" customHeight="1" x14ac:dyDescent="0.45">
      <c r="A35" s="26" t="str">
        <f t="shared" si="1"/>
        <v>1110</v>
      </c>
      <c r="B35" s="26">
        <v>1</v>
      </c>
      <c r="C35" s="26" t="s">
        <v>174</v>
      </c>
      <c r="D35" s="26" t="s">
        <v>173</v>
      </c>
      <c r="E35" s="29"/>
    </row>
    <row r="36" spans="1:7" s="27" customFormat="1" ht="17.25" customHeight="1" x14ac:dyDescent="0.45">
      <c r="A36" s="26" t="str">
        <f t="shared" si="1"/>
        <v>1111</v>
      </c>
      <c r="B36" s="26">
        <v>1</v>
      </c>
      <c r="C36" s="26" t="s">
        <v>175</v>
      </c>
      <c r="D36" s="26" t="s">
        <v>78</v>
      </c>
      <c r="E36" s="29"/>
    </row>
    <row r="37" spans="1:7" ht="17.25" customHeight="1" x14ac:dyDescent="0.45">
      <c r="A37" s="26" t="str">
        <f t="shared" si="1"/>
        <v>1112</v>
      </c>
      <c r="B37" s="26">
        <v>1</v>
      </c>
      <c r="C37" s="26" t="s">
        <v>176</v>
      </c>
      <c r="D37" s="26" t="s">
        <v>78</v>
      </c>
      <c r="E37" s="29"/>
    </row>
    <row r="38" spans="1:7" ht="17.25" customHeight="1" x14ac:dyDescent="0.45">
      <c r="A38" s="31" t="str">
        <f t="shared" si="1"/>
        <v>1113</v>
      </c>
      <c r="B38" s="31">
        <v>1</v>
      </c>
      <c r="C38" s="31" t="s">
        <v>73</v>
      </c>
      <c r="D38" s="26"/>
      <c r="E38" s="29"/>
    </row>
    <row r="39" spans="1:7" ht="17.25" customHeight="1" x14ac:dyDescent="0.45">
      <c r="A39" s="26" t="str">
        <f t="shared" si="1"/>
        <v>1114</v>
      </c>
      <c r="B39" s="26">
        <v>1</v>
      </c>
      <c r="C39" s="26" t="s">
        <v>177</v>
      </c>
      <c r="D39" s="26"/>
      <c r="E39" s="29"/>
      <c r="G39" s="1" t="s">
        <v>178</v>
      </c>
    </row>
    <row r="40" spans="1:7" ht="28" x14ac:dyDescent="0.45">
      <c r="A40" s="32" t="str">
        <f t="shared" si="1"/>
        <v>1115</v>
      </c>
      <c r="B40" s="32">
        <v>1</v>
      </c>
      <c r="C40" s="32" t="s">
        <v>73</v>
      </c>
      <c r="D40" s="30" t="s">
        <v>179</v>
      </c>
      <c r="E40" s="29"/>
    </row>
    <row r="41" spans="1:7" ht="17.25" customHeight="1" x14ac:dyDescent="0.45">
      <c r="A41" s="32" t="str">
        <f t="shared" si="1"/>
        <v>1116</v>
      </c>
      <c r="B41" s="32">
        <v>1</v>
      </c>
      <c r="C41" s="32" t="s">
        <v>73</v>
      </c>
      <c r="D41" s="26"/>
      <c r="E41" s="29"/>
    </row>
    <row r="42" spans="1:7" ht="17.25" customHeight="1" x14ac:dyDescent="0.45">
      <c r="A42" s="32" t="str">
        <f t="shared" si="1"/>
        <v>1117</v>
      </c>
      <c r="B42" s="32">
        <v>1</v>
      </c>
      <c r="C42" s="32" t="s">
        <v>73</v>
      </c>
      <c r="D42" s="26"/>
      <c r="E42" s="29"/>
    </row>
    <row r="43" spans="1:7" ht="17.25" customHeight="1" x14ac:dyDescent="0.45">
      <c r="A43" s="32" t="str">
        <f t="shared" si="1"/>
        <v>1118</v>
      </c>
      <c r="B43" s="32">
        <v>1</v>
      </c>
      <c r="C43" s="32" t="s">
        <v>73</v>
      </c>
      <c r="D43" s="26"/>
      <c r="E43" s="29"/>
    </row>
    <row r="44" spans="1:7" ht="17.25" customHeight="1" x14ac:dyDescent="0.45">
      <c r="A44" s="32" t="str">
        <f t="shared" si="1"/>
        <v>1119</v>
      </c>
      <c r="B44" s="32">
        <v>1</v>
      </c>
      <c r="C44" s="32" t="s">
        <v>73</v>
      </c>
      <c r="D44" s="26"/>
      <c r="E44" s="29"/>
    </row>
    <row r="45" spans="1:7" ht="17.25" customHeight="1" x14ac:dyDescent="0.45">
      <c r="A45" s="31" t="str">
        <f t="shared" si="1"/>
        <v>111A</v>
      </c>
      <c r="B45" s="31">
        <v>1</v>
      </c>
      <c r="C45" s="31" t="s">
        <v>180</v>
      </c>
      <c r="D45" s="26" t="s">
        <v>173</v>
      </c>
      <c r="E45" s="29"/>
    </row>
    <row r="46" spans="1:7" ht="17.25" customHeight="1" x14ac:dyDescent="0.45">
      <c r="A46" s="26" t="str">
        <f t="shared" si="1"/>
        <v>111B</v>
      </c>
      <c r="B46" s="26">
        <v>5</v>
      </c>
      <c r="C46" s="26" t="s">
        <v>73</v>
      </c>
      <c r="D46" s="26"/>
      <c r="E46" s="29"/>
    </row>
    <row r="47" spans="1:7" ht="17.25" customHeight="1" x14ac:dyDescent="0.45">
      <c r="A47" s="26" t="str">
        <f t="shared" si="1"/>
        <v>1120</v>
      </c>
      <c r="B47" s="26">
        <v>1</v>
      </c>
      <c r="C47" s="26" t="s">
        <v>181</v>
      </c>
      <c r="D47" s="26" t="s">
        <v>182</v>
      </c>
      <c r="E47" s="29"/>
    </row>
    <row r="48" spans="1:7" ht="17.25" customHeight="1" x14ac:dyDescent="0.45">
      <c r="A48" s="26" t="str">
        <f t="shared" si="1"/>
        <v>1121</v>
      </c>
      <c r="B48" s="26">
        <v>223</v>
      </c>
      <c r="C48" s="26" t="s">
        <v>73</v>
      </c>
      <c r="D48" s="26"/>
      <c r="E48" s="29"/>
    </row>
    <row r="49" spans="1:5" ht="17.25" customHeight="1" x14ac:dyDescent="0.45">
      <c r="A49" s="96" t="s">
        <v>183</v>
      </c>
      <c r="B49" s="96"/>
      <c r="C49" s="96"/>
      <c r="D49" s="96"/>
      <c r="E49" s="96"/>
    </row>
    <row r="50" spans="1:5" ht="17.25" customHeight="1" x14ac:dyDescent="0.45">
      <c r="A50" s="1" t="str">
        <f>DEC2HEX(HEX2DEC(A45)+B45)</f>
        <v>111B</v>
      </c>
      <c r="E50" s="34"/>
    </row>
    <row r="52" spans="1:5" ht="17.25" customHeight="1" x14ac:dyDescent="0.45"/>
  </sheetData>
  <sheetProtection formatCells="0" formatColumns="0" formatRows="0" insertColumns="0" insertRows="0" insertHyperlinks="0" deleteColumns="0" deleteRows="0" sort="0" autoFilter="0" pivotTables="0"/>
  <mergeCells count="6">
    <mergeCell ref="A49:E49"/>
    <mergeCell ref="F3:J15"/>
    <mergeCell ref="A2:E2"/>
    <mergeCell ref="A4:E4"/>
    <mergeCell ref="A5:E5"/>
    <mergeCell ref="A18:E18"/>
  </mergeCells>
  <phoneticPr fontId="30" type="noConversion"/>
  <pageMargins left="0.70078740157480301" right="0.70078740157480301" top="0.75196850393700798" bottom="0.75196850393700798" header="0.29921259842519699" footer="0.29921259842519699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1"/>
  <sheetViews>
    <sheetView workbookViewId="0">
      <selection activeCell="C13" sqref="A10:C13"/>
    </sheetView>
  </sheetViews>
  <sheetFormatPr defaultColWidth="7.69140625" defaultRowHeight="14" x14ac:dyDescent="0.45"/>
  <cols>
    <col min="1" max="2" width="7.69140625" style="1"/>
    <col min="3" max="3" width="18.53515625" style="1" customWidth="1"/>
    <col min="4" max="4" width="14.69140625" style="1" customWidth="1"/>
    <col min="5" max="16384" width="7.69140625" style="1"/>
  </cols>
  <sheetData>
    <row r="1" spans="1:10" s="9" customFormat="1" ht="113.25" customHeight="1" x14ac:dyDescent="0.45">
      <c r="A1" s="98" t="s">
        <v>184</v>
      </c>
      <c r="B1" s="98"/>
      <c r="C1" s="98"/>
      <c r="D1" s="98"/>
      <c r="E1" s="98"/>
    </row>
    <row r="2" spans="1:10" ht="34" x14ac:dyDescent="0.45">
      <c r="A2" s="25" t="s">
        <v>145</v>
      </c>
      <c r="B2" s="25" t="s">
        <v>146</v>
      </c>
      <c r="C2" s="25" t="s">
        <v>14</v>
      </c>
      <c r="D2" s="25" t="s">
        <v>147</v>
      </c>
      <c r="E2" s="25" t="s">
        <v>11</v>
      </c>
      <c r="F2" s="9"/>
      <c r="G2" s="9"/>
      <c r="H2" s="9"/>
      <c r="I2" s="9"/>
      <c r="J2" s="9"/>
    </row>
    <row r="3" spans="1:10" ht="17" x14ac:dyDescent="0.45">
      <c r="A3" s="97" t="s">
        <v>185</v>
      </c>
      <c r="B3" s="97"/>
      <c r="C3" s="97"/>
      <c r="D3" s="97"/>
      <c r="E3" s="97"/>
      <c r="F3" s="9"/>
      <c r="G3" s="9"/>
      <c r="H3" s="9"/>
      <c r="I3" s="9"/>
      <c r="J3" s="9"/>
    </row>
    <row r="4" spans="1:10" ht="17" x14ac:dyDescent="0.45">
      <c r="A4" s="25" t="str">
        <f>(DEC2HEX(12288))</f>
        <v>3000</v>
      </c>
      <c r="B4" s="25">
        <v>16</v>
      </c>
      <c r="C4" s="25" t="s">
        <v>186</v>
      </c>
      <c r="D4" s="97" t="s">
        <v>187</v>
      </c>
      <c r="E4" s="25"/>
      <c r="F4" s="9"/>
      <c r="G4" s="9"/>
      <c r="H4" s="9"/>
      <c r="I4" s="9"/>
      <c r="J4" s="9"/>
    </row>
    <row r="5" spans="1:10" ht="17" x14ac:dyDescent="0.45">
      <c r="A5" s="25" t="str">
        <f>DEC2HEX(HEX2DEC(A4)+B4)</f>
        <v>3010</v>
      </c>
      <c r="B5" s="25">
        <v>16</v>
      </c>
      <c r="C5" s="25" t="s">
        <v>188</v>
      </c>
      <c r="D5" s="97"/>
      <c r="E5" s="25"/>
      <c r="F5" s="9"/>
      <c r="G5" s="9"/>
      <c r="H5" s="9"/>
      <c r="I5" s="9"/>
      <c r="J5" s="9"/>
    </row>
    <row r="6" spans="1:10" ht="17" x14ac:dyDescent="0.45">
      <c r="A6" s="25" t="str">
        <f>DEC2HEX(HEX2DEC(A5)+B5)</f>
        <v>3020</v>
      </c>
      <c r="B6" s="25">
        <v>8</v>
      </c>
      <c r="C6" s="25" t="s">
        <v>189</v>
      </c>
      <c r="D6" s="97"/>
      <c r="E6" s="25"/>
      <c r="F6" s="9"/>
      <c r="G6" s="9"/>
      <c r="H6" s="9"/>
      <c r="I6" s="9"/>
      <c r="J6" s="9"/>
    </row>
    <row r="7" spans="1:10" ht="17" x14ac:dyDescent="0.45">
      <c r="A7" s="25" t="str">
        <f>DEC2HEX(HEX2DEC(A6)+B6)</f>
        <v>3028</v>
      </c>
      <c r="B7" s="25">
        <v>8</v>
      </c>
      <c r="C7" s="25" t="s">
        <v>190</v>
      </c>
      <c r="D7" s="97"/>
      <c r="E7" s="25"/>
      <c r="F7" s="9"/>
      <c r="G7" s="9"/>
      <c r="H7" s="9"/>
      <c r="I7" s="9"/>
      <c r="J7" s="9"/>
    </row>
    <row r="8" spans="1:10" ht="34" x14ac:dyDescent="0.45">
      <c r="A8" s="25" t="str">
        <f>DEC2HEX(HEX2DEC(A7)+B7)</f>
        <v>3030</v>
      </c>
      <c r="B8" s="25">
        <v>208</v>
      </c>
      <c r="C8" s="25" t="s">
        <v>191</v>
      </c>
      <c r="D8" s="97"/>
      <c r="E8" s="25"/>
      <c r="F8" s="9"/>
      <c r="G8" s="9"/>
      <c r="H8" s="9"/>
      <c r="I8" s="9"/>
      <c r="J8" s="9"/>
    </row>
    <row r="9" spans="1:10" ht="17" x14ac:dyDescent="0.45">
      <c r="A9" s="97" t="s">
        <v>192</v>
      </c>
      <c r="B9" s="97"/>
      <c r="C9" s="97"/>
      <c r="D9" s="97"/>
      <c r="E9" s="97"/>
    </row>
    <row r="10" spans="1:10" ht="17" x14ac:dyDescent="0.45">
      <c r="A10" s="25" t="str">
        <f>DEC2HEX(HEX2DEC(A8)+B8)</f>
        <v>3100</v>
      </c>
      <c r="B10" s="25">
        <v>16</v>
      </c>
      <c r="C10" s="25" t="s">
        <v>193</v>
      </c>
      <c r="D10" s="97" t="s">
        <v>187</v>
      </c>
      <c r="E10" s="26"/>
    </row>
    <row r="11" spans="1:10" ht="17" x14ac:dyDescent="0.45">
      <c r="A11" s="25" t="str">
        <f t="shared" ref="A11:A61" si="0">DEC2HEX(HEX2DEC(A10)+B10)</f>
        <v>3110</v>
      </c>
      <c r="B11" s="25">
        <v>16</v>
      </c>
      <c r="C11" s="25" t="s">
        <v>194</v>
      </c>
      <c r="D11" s="97"/>
      <c r="E11" s="26"/>
    </row>
    <row r="12" spans="1:10" ht="17" x14ac:dyDescent="0.45">
      <c r="A12" s="25" t="str">
        <f t="shared" si="0"/>
        <v>3120</v>
      </c>
      <c r="B12" s="25">
        <v>16</v>
      </c>
      <c r="C12" s="25" t="s">
        <v>195</v>
      </c>
      <c r="D12" s="97"/>
      <c r="E12" s="26"/>
    </row>
    <row r="13" spans="1:10" ht="17" x14ac:dyDescent="0.45">
      <c r="A13" s="25" t="str">
        <f t="shared" si="0"/>
        <v>3130</v>
      </c>
      <c r="B13" s="25">
        <v>16</v>
      </c>
      <c r="C13" s="25" t="s">
        <v>196</v>
      </c>
      <c r="D13" s="97"/>
      <c r="E13" s="26"/>
    </row>
    <row r="14" spans="1:10" ht="17" x14ac:dyDescent="0.45">
      <c r="A14" s="25" t="str">
        <f t="shared" si="0"/>
        <v>3140</v>
      </c>
      <c r="B14" s="25">
        <v>16</v>
      </c>
      <c r="C14" s="25" t="s">
        <v>197</v>
      </c>
      <c r="D14" s="97"/>
      <c r="E14" s="26"/>
    </row>
    <row r="15" spans="1:10" ht="17" x14ac:dyDescent="0.45">
      <c r="A15" s="25" t="str">
        <f t="shared" si="0"/>
        <v>3150</v>
      </c>
      <c r="B15" s="25">
        <v>16</v>
      </c>
      <c r="C15" s="25" t="s">
        <v>198</v>
      </c>
      <c r="D15" s="97"/>
      <c r="E15" s="26"/>
    </row>
    <row r="16" spans="1:10" ht="17" x14ac:dyDescent="0.45">
      <c r="A16" s="25" t="str">
        <f t="shared" si="0"/>
        <v>3160</v>
      </c>
      <c r="B16" s="25">
        <v>16</v>
      </c>
      <c r="C16" s="25" t="s">
        <v>199</v>
      </c>
      <c r="D16" s="97"/>
      <c r="E16" s="26"/>
    </row>
    <row r="17" spans="1:5" ht="17" x14ac:dyDescent="0.45">
      <c r="A17" s="25" t="str">
        <f t="shared" si="0"/>
        <v>3170</v>
      </c>
      <c r="B17" s="25">
        <v>16</v>
      </c>
      <c r="C17" s="25" t="s">
        <v>200</v>
      </c>
      <c r="D17" s="97"/>
      <c r="E17" s="26"/>
    </row>
    <row r="18" spans="1:5" ht="17" x14ac:dyDescent="0.45">
      <c r="A18" s="25" t="str">
        <f t="shared" si="0"/>
        <v>3180</v>
      </c>
      <c r="B18" s="25">
        <v>16</v>
      </c>
      <c r="C18" s="25" t="s">
        <v>201</v>
      </c>
      <c r="D18" s="97"/>
      <c r="E18" s="26"/>
    </row>
    <row r="19" spans="1:5" ht="17" x14ac:dyDescent="0.45">
      <c r="A19" s="25" t="str">
        <f t="shared" si="0"/>
        <v>3190</v>
      </c>
      <c r="B19" s="25">
        <v>16</v>
      </c>
      <c r="C19" s="25" t="s">
        <v>202</v>
      </c>
      <c r="D19" s="97"/>
      <c r="E19" s="26"/>
    </row>
    <row r="20" spans="1:5" ht="17" x14ac:dyDescent="0.45">
      <c r="A20" s="25" t="str">
        <f t="shared" si="0"/>
        <v>31A0</v>
      </c>
      <c r="B20" s="25">
        <v>16</v>
      </c>
      <c r="C20" s="25" t="s">
        <v>203</v>
      </c>
      <c r="D20" s="97"/>
      <c r="E20" s="26"/>
    </row>
    <row r="21" spans="1:5" ht="17" x14ac:dyDescent="0.45">
      <c r="A21" s="25" t="str">
        <f t="shared" si="0"/>
        <v>31B0</v>
      </c>
      <c r="B21" s="25">
        <v>16</v>
      </c>
      <c r="C21" s="25" t="s">
        <v>204</v>
      </c>
      <c r="D21" s="97"/>
      <c r="E21" s="26"/>
    </row>
    <row r="22" spans="1:5" ht="17" x14ac:dyDescent="0.45">
      <c r="A22" s="25" t="str">
        <f t="shared" si="0"/>
        <v>31C0</v>
      </c>
      <c r="B22" s="25">
        <v>16</v>
      </c>
      <c r="C22" s="25" t="s">
        <v>205</v>
      </c>
      <c r="D22" s="97"/>
      <c r="E22" s="26"/>
    </row>
    <row r="23" spans="1:5" ht="17" x14ac:dyDescent="0.45">
      <c r="A23" s="25" t="str">
        <f t="shared" si="0"/>
        <v>31D0</v>
      </c>
      <c r="B23" s="25">
        <v>16</v>
      </c>
      <c r="C23" s="25" t="s">
        <v>206</v>
      </c>
      <c r="D23" s="97"/>
      <c r="E23" s="26"/>
    </row>
    <row r="24" spans="1:5" ht="17" x14ac:dyDescent="0.45">
      <c r="A24" s="25" t="str">
        <f t="shared" si="0"/>
        <v>31E0</v>
      </c>
      <c r="B24" s="25">
        <v>16</v>
      </c>
      <c r="C24" s="25" t="s">
        <v>207</v>
      </c>
      <c r="D24" s="97"/>
      <c r="E24" s="26"/>
    </row>
    <row r="25" spans="1:5" ht="17" x14ac:dyDescent="0.45">
      <c r="A25" s="25" t="str">
        <f t="shared" si="0"/>
        <v>31F0</v>
      </c>
      <c r="B25" s="25">
        <v>16</v>
      </c>
      <c r="C25" s="25" t="s">
        <v>208</v>
      </c>
      <c r="D25" s="97"/>
      <c r="E25" s="26"/>
    </row>
    <row r="26" spans="1:5" ht="17" x14ac:dyDescent="0.45">
      <c r="A26" s="25" t="str">
        <f t="shared" si="0"/>
        <v>3200</v>
      </c>
      <c r="B26" s="25">
        <v>256</v>
      </c>
      <c r="C26" s="25" t="s">
        <v>73</v>
      </c>
      <c r="D26" s="97"/>
      <c r="E26" s="26"/>
    </row>
    <row r="27" spans="1:5" ht="17" x14ac:dyDescent="0.45">
      <c r="A27" s="25" t="str">
        <f t="shared" si="0"/>
        <v>3300</v>
      </c>
      <c r="B27" s="25">
        <v>8</v>
      </c>
      <c r="C27" s="25" t="s">
        <v>209</v>
      </c>
      <c r="D27" s="97"/>
      <c r="E27" s="26"/>
    </row>
    <row r="28" spans="1:5" ht="17" x14ac:dyDescent="0.45">
      <c r="A28" s="25" t="str">
        <f t="shared" si="0"/>
        <v>3308</v>
      </c>
      <c r="B28" s="25">
        <v>8</v>
      </c>
      <c r="C28" s="25" t="s">
        <v>210</v>
      </c>
      <c r="D28" s="97"/>
      <c r="E28" s="26"/>
    </row>
    <row r="29" spans="1:5" ht="17" x14ac:dyDescent="0.45">
      <c r="A29" s="25" t="str">
        <f t="shared" si="0"/>
        <v>3310</v>
      </c>
      <c r="B29" s="25">
        <v>8</v>
      </c>
      <c r="C29" s="25" t="s">
        <v>211</v>
      </c>
      <c r="D29" s="97"/>
      <c r="E29" s="26"/>
    </row>
    <row r="30" spans="1:5" ht="17" x14ac:dyDescent="0.45">
      <c r="A30" s="25" t="str">
        <f t="shared" si="0"/>
        <v>3318</v>
      </c>
      <c r="B30" s="25">
        <v>8</v>
      </c>
      <c r="C30" s="25" t="s">
        <v>212</v>
      </c>
      <c r="D30" s="97"/>
      <c r="E30" s="26"/>
    </row>
    <row r="31" spans="1:5" ht="17" x14ac:dyDescent="0.45">
      <c r="A31" s="25" t="str">
        <f t="shared" si="0"/>
        <v>3320</v>
      </c>
      <c r="B31" s="25">
        <v>8</v>
      </c>
      <c r="C31" s="25" t="s">
        <v>213</v>
      </c>
      <c r="D31" s="97"/>
      <c r="E31" s="26"/>
    </row>
    <row r="32" spans="1:5" ht="17" x14ac:dyDescent="0.45">
      <c r="A32" s="25" t="str">
        <f t="shared" si="0"/>
        <v>3328</v>
      </c>
      <c r="B32" s="25">
        <v>8</v>
      </c>
      <c r="C32" s="25" t="s">
        <v>214</v>
      </c>
      <c r="D32" s="97"/>
      <c r="E32" s="26"/>
    </row>
    <row r="33" spans="1:5" ht="17" x14ac:dyDescent="0.45">
      <c r="A33" s="25" t="str">
        <f t="shared" si="0"/>
        <v>3330</v>
      </c>
      <c r="B33" s="25">
        <v>8</v>
      </c>
      <c r="C33" s="25" t="s">
        <v>215</v>
      </c>
      <c r="D33" s="97"/>
      <c r="E33" s="26"/>
    </row>
    <row r="34" spans="1:5" ht="17" x14ac:dyDescent="0.45">
      <c r="A34" s="25" t="str">
        <f t="shared" si="0"/>
        <v>3338</v>
      </c>
      <c r="B34" s="25">
        <v>8</v>
      </c>
      <c r="C34" s="25" t="s">
        <v>216</v>
      </c>
      <c r="D34" s="97"/>
      <c r="E34" s="26"/>
    </row>
    <row r="35" spans="1:5" ht="17" x14ac:dyDescent="0.45">
      <c r="A35" s="25" t="str">
        <f t="shared" si="0"/>
        <v>3340</v>
      </c>
      <c r="B35" s="25">
        <v>8</v>
      </c>
      <c r="C35" s="25" t="s">
        <v>217</v>
      </c>
      <c r="D35" s="97"/>
      <c r="E35" s="26"/>
    </row>
    <row r="36" spans="1:5" ht="17" x14ac:dyDescent="0.45">
      <c r="A36" s="25" t="str">
        <f t="shared" si="0"/>
        <v>3348</v>
      </c>
      <c r="B36" s="25">
        <v>8</v>
      </c>
      <c r="C36" s="25" t="s">
        <v>218</v>
      </c>
      <c r="D36" s="97"/>
      <c r="E36" s="26"/>
    </row>
    <row r="37" spans="1:5" ht="17" x14ac:dyDescent="0.45">
      <c r="A37" s="25" t="str">
        <f t="shared" si="0"/>
        <v>3350</v>
      </c>
      <c r="B37" s="25">
        <v>8</v>
      </c>
      <c r="C37" s="25" t="s">
        <v>219</v>
      </c>
      <c r="D37" s="97"/>
      <c r="E37" s="26"/>
    </row>
    <row r="38" spans="1:5" ht="17" x14ac:dyDescent="0.45">
      <c r="A38" s="25" t="str">
        <f t="shared" si="0"/>
        <v>3358</v>
      </c>
      <c r="B38" s="25">
        <v>8</v>
      </c>
      <c r="C38" s="25" t="s">
        <v>220</v>
      </c>
      <c r="D38" s="97"/>
      <c r="E38" s="26"/>
    </row>
    <row r="39" spans="1:5" ht="17" x14ac:dyDescent="0.45">
      <c r="A39" s="25" t="str">
        <f t="shared" si="0"/>
        <v>3360</v>
      </c>
      <c r="B39" s="25">
        <v>8</v>
      </c>
      <c r="C39" s="25" t="s">
        <v>221</v>
      </c>
      <c r="D39" s="97"/>
      <c r="E39" s="26"/>
    </row>
    <row r="40" spans="1:5" ht="17" x14ac:dyDescent="0.45">
      <c r="A40" s="25" t="str">
        <f t="shared" si="0"/>
        <v>3368</v>
      </c>
      <c r="B40" s="25">
        <v>8</v>
      </c>
      <c r="C40" s="25" t="s">
        <v>222</v>
      </c>
      <c r="D40" s="97"/>
      <c r="E40" s="26"/>
    </row>
    <row r="41" spans="1:5" ht="17" x14ac:dyDescent="0.45">
      <c r="A41" s="25" t="str">
        <f t="shared" si="0"/>
        <v>3370</v>
      </c>
      <c r="B41" s="25">
        <v>8</v>
      </c>
      <c r="C41" s="25" t="s">
        <v>223</v>
      </c>
      <c r="D41" s="97"/>
      <c r="E41" s="26"/>
    </row>
    <row r="42" spans="1:5" ht="17" x14ac:dyDescent="0.45">
      <c r="A42" s="25" t="str">
        <f t="shared" si="0"/>
        <v>3378</v>
      </c>
      <c r="B42" s="25">
        <v>8</v>
      </c>
      <c r="C42" s="25" t="s">
        <v>224</v>
      </c>
      <c r="D42" s="97"/>
      <c r="E42" s="26"/>
    </row>
    <row r="43" spans="1:5" ht="17" x14ac:dyDescent="0.45">
      <c r="A43" s="25" t="str">
        <f t="shared" si="0"/>
        <v>3380</v>
      </c>
      <c r="B43" s="25">
        <v>128</v>
      </c>
      <c r="C43" s="25" t="s">
        <v>73</v>
      </c>
      <c r="D43" s="97"/>
      <c r="E43" s="26"/>
    </row>
    <row r="44" spans="1:5" ht="17" x14ac:dyDescent="0.45">
      <c r="A44" s="25" t="str">
        <f t="shared" si="0"/>
        <v>3400</v>
      </c>
      <c r="B44" s="25">
        <v>8</v>
      </c>
      <c r="C44" s="25" t="s">
        <v>225</v>
      </c>
      <c r="D44" s="97"/>
      <c r="E44" s="26"/>
    </row>
    <row r="45" spans="1:5" ht="17" x14ac:dyDescent="0.45">
      <c r="A45" s="25" t="str">
        <f t="shared" si="0"/>
        <v>3408</v>
      </c>
      <c r="B45" s="25">
        <v>8</v>
      </c>
      <c r="C45" s="25" t="s">
        <v>226</v>
      </c>
      <c r="D45" s="97"/>
      <c r="E45" s="26"/>
    </row>
    <row r="46" spans="1:5" ht="17" x14ac:dyDescent="0.45">
      <c r="A46" s="25" t="str">
        <f t="shared" si="0"/>
        <v>3410</v>
      </c>
      <c r="B46" s="25">
        <v>8</v>
      </c>
      <c r="C46" s="25" t="s">
        <v>227</v>
      </c>
      <c r="D46" s="97"/>
      <c r="E46" s="26"/>
    </row>
    <row r="47" spans="1:5" ht="17" x14ac:dyDescent="0.45">
      <c r="A47" s="25" t="str">
        <f t="shared" si="0"/>
        <v>3418</v>
      </c>
      <c r="B47" s="25">
        <v>8</v>
      </c>
      <c r="C47" s="25" t="s">
        <v>228</v>
      </c>
      <c r="D47" s="97"/>
      <c r="E47" s="26"/>
    </row>
    <row r="48" spans="1:5" ht="17" x14ac:dyDescent="0.45">
      <c r="A48" s="25" t="str">
        <f t="shared" si="0"/>
        <v>3420</v>
      </c>
      <c r="B48" s="25">
        <v>8</v>
      </c>
      <c r="C48" s="25" t="s">
        <v>229</v>
      </c>
      <c r="D48" s="97"/>
      <c r="E48" s="26"/>
    </row>
    <row r="49" spans="1:5" ht="17" x14ac:dyDescent="0.45">
      <c r="A49" s="25" t="str">
        <f t="shared" si="0"/>
        <v>3428</v>
      </c>
      <c r="B49" s="25">
        <v>8</v>
      </c>
      <c r="C49" s="25" t="s">
        <v>230</v>
      </c>
      <c r="D49" s="97"/>
      <c r="E49" s="26"/>
    </row>
    <row r="50" spans="1:5" ht="17" x14ac:dyDescent="0.45">
      <c r="A50" s="25" t="str">
        <f t="shared" si="0"/>
        <v>3430</v>
      </c>
      <c r="B50" s="25">
        <v>8</v>
      </c>
      <c r="C50" s="25" t="s">
        <v>231</v>
      </c>
      <c r="D50" s="97"/>
      <c r="E50" s="26"/>
    </row>
    <row r="51" spans="1:5" ht="17" x14ac:dyDescent="0.45">
      <c r="A51" s="25" t="str">
        <f t="shared" si="0"/>
        <v>3438</v>
      </c>
      <c r="B51" s="25">
        <v>8</v>
      </c>
      <c r="C51" s="25" t="s">
        <v>232</v>
      </c>
      <c r="D51" s="97"/>
      <c r="E51" s="26"/>
    </row>
    <row r="52" spans="1:5" ht="17" x14ac:dyDescent="0.45">
      <c r="A52" s="25" t="str">
        <f t="shared" si="0"/>
        <v>3440</v>
      </c>
      <c r="B52" s="25">
        <v>8</v>
      </c>
      <c r="C52" s="25" t="s">
        <v>233</v>
      </c>
      <c r="D52" s="97"/>
      <c r="E52" s="26"/>
    </row>
    <row r="53" spans="1:5" ht="17" x14ac:dyDescent="0.45">
      <c r="A53" s="25" t="str">
        <f t="shared" si="0"/>
        <v>3448</v>
      </c>
      <c r="B53" s="25">
        <v>8</v>
      </c>
      <c r="C53" s="25" t="s">
        <v>234</v>
      </c>
      <c r="D53" s="97"/>
      <c r="E53" s="26"/>
    </row>
    <row r="54" spans="1:5" ht="17" x14ac:dyDescent="0.45">
      <c r="A54" s="25" t="str">
        <f t="shared" si="0"/>
        <v>3450</v>
      </c>
      <c r="B54" s="25">
        <v>8</v>
      </c>
      <c r="C54" s="25" t="s">
        <v>235</v>
      </c>
      <c r="D54" s="97"/>
      <c r="E54" s="26"/>
    </row>
    <row r="55" spans="1:5" ht="17" x14ac:dyDescent="0.45">
      <c r="A55" s="25" t="str">
        <f t="shared" si="0"/>
        <v>3458</v>
      </c>
      <c r="B55" s="25">
        <v>8</v>
      </c>
      <c r="C55" s="25" t="s">
        <v>236</v>
      </c>
      <c r="D55" s="97"/>
      <c r="E55" s="26"/>
    </row>
    <row r="56" spans="1:5" ht="17" x14ac:dyDescent="0.45">
      <c r="A56" s="25" t="str">
        <f t="shared" si="0"/>
        <v>3460</v>
      </c>
      <c r="B56" s="25">
        <v>8</v>
      </c>
      <c r="C56" s="25" t="s">
        <v>237</v>
      </c>
      <c r="D56" s="97"/>
      <c r="E56" s="26"/>
    </row>
    <row r="57" spans="1:5" ht="17" x14ac:dyDescent="0.45">
      <c r="A57" s="25" t="str">
        <f t="shared" si="0"/>
        <v>3468</v>
      </c>
      <c r="B57" s="25">
        <v>8</v>
      </c>
      <c r="C57" s="25" t="s">
        <v>238</v>
      </c>
      <c r="D57" s="97"/>
      <c r="E57" s="26"/>
    </row>
    <row r="58" spans="1:5" ht="17" x14ac:dyDescent="0.45">
      <c r="A58" s="25" t="str">
        <f t="shared" si="0"/>
        <v>3470</v>
      </c>
      <c r="B58" s="25">
        <v>8</v>
      </c>
      <c r="C58" s="25" t="s">
        <v>239</v>
      </c>
      <c r="D58" s="97"/>
      <c r="E58" s="26"/>
    </row>
    <row r="59" spans="1:5" ht="17" x14ac:dyDescent="0.45">
      <c r="A59" s="25" t="str">
        <f t="shared" si="0"/>
        <v>3478</v>
      </c>
      <c r="B59" s="25">
        <v>8</v>
      </c>
      <c r="C59" s="25" t="s">
        <v>240</v>
      </c>
      <c r="D59" s="97"/>
      <c r="E59" s="26"/>
    </row>
    <row r="60" spans="1:5" ht="17" x14ac:dyDescent="0.45">
      <c r="A60" s="25" t="str">
        <f t="shared" si="0"/>
        <v>3480</v>
      </c>
      <c r="B60" s="25">
        <v>128</v>
      </c>
      <c r="C60" s="25" t="s">
        <v>73</v>
      </c>
      <c r="D60" s="97"/>
      <c r="E60" s="26"/>
    </row>
    <row r="61" spans="1:5" ht="17" x14ac:dyDescent="0.45">
      <c r="A61" s="25" t="str">
        <f t="shared" si="0"/>
        <v>3500</v>
      </c>
      <c r="B61" s="25"/>
      <c r="C61" s="25"/>
      <c r="D61" s="97"/>
      <c r="E61" s="26"/>
    </row>
  </sheetData>
  <sheetProtection formatCells="0" formatColumns="0" formatRows="0" insertColumns="0" insertRows="0" insertHyperlinks="0" deleteColumns="0" deleteRows="0" sort="0" autoFilter="0" pivotTables="0"/>
  <mergeCells count="15">
    <mergeCell ref="A1:E1"/>
    <mergeCell ref="A3:E3"/>
    <mergeCell ref="A9:E9"/>
    <mergeCell ref="D4:D8"/>
    <mergeCell ref="D10:D14"/>
    <mergeCell ref="D15:D19"/>
    <mergeCell ref="D20:D24"/>
    <mergeCell ref="D25:D29"/>
    <mergeCell ref="D30:D34"/>
    <mergeCell ref="D35:D39"/>
    <mergeCell ref="D40:D44"/>
    <mergeCell ref="D45:D49"/>
    <mergeCell ref="D50:D54"/>
    <mergeCell ref="D55:D59"/>
    <mergeCell ref="D60:D61"/>
  </mergeCells>
  <phoneticPr fontId="30" type="noConversion"/>
  <pageMargins left="0.75196850393700798" right="0.75196850393700798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tabSelected="1" topLeftCell="A4" workbookViewId="0">
      <selection activeCell="E9" sqref="E9"/>
    </sheetView>
  </sheetViews>
  <sheetFormatPr defaultColWidth="7.69140625" defaultRowHeight="14" x14ac:dyDescent="0.45"/>
  <cols>
    <col min="1" max="1" width="9.15234375" style="1" customWidth="1"/>
    <col min="2" max="2" width="7.69140625" style="1"/>
    <col min="3" max="3" width="20.84375" style="1" customWidth="1"/>
    <col min="4" max="4" width="23.15234375" style="1" customWidth="1"/>
    <col min="5" max="5" width="39.61328125" style="1" customWidth="1"/>
    <col min="6" max="16384" width="7.69140625" style="1"/>
  </cols>
  <sheetData>
    <row r="1" spans="1:5" s="9" customFormat="1" ht="113.25" customHeight="1" x14ac:dyDescent="0.45">
      <c r="A1" s="99" t="s">
        <v>241</v>
      </c>
      <c r="B1" s="99"/>
      <c r="C1" s="99"/>
      <c r="D1" s="99"/>
    </row>
    <row r="2" spans="1:5" ht="34" x14ac:dyDescent="0.45">
      <c r="A2" s="11" t="s">
        <v>145</v>
      </c>
      <c r="B2" s="11" t="s">
        <v>146</v>
      </c>
      <c r="C2" s="11" t="s">
        <v>14</v>
      </c>
      <c r="D2" s="11" t="s">
        <v>242</v>
      </c>
      <c r="E2" s="11" t="s">
        <v>11</v>
      </c>
    </row>
    <row r="3" spans="1:5" ht="17" x14ac:dyDescent="0.45">
      <c r="A3" s="100" t="s">
        <v>185</v>
      </c>
      <c r="B3" s="100"/>
      <c r="C3" s="100"/>
      <c r="D3" s="100"/>
      <c r="E3" s="100"/>
    </row>
    <row r="4" spans="1:5" ht="34" x14ac:dyDescent="0.45">
      <c r="A4" s="13" t="str">
        <f>(DEC2HEX(20480))</f>
        <v>5000</v>
      </c>
      <c r="B4" s="13">
        <v>1</v>
      </c>
      <c r="C4" s="13" t="s">
        <v>243</v>
      </c>
      <c r="D4" s="13" t="s">
        <v>244</v>
      </c>
      <c r="E4" s="14"/>
    </row>
    <row r="5" spans="1:5" ht="34" x14ac:dyDescent="0.45">
      <c r="A5" s="15" t="str">
        <f>DEC2HEX(HEX2DEC(A4+B4))</f>
        <v>5001</v>
      </c>
      <c r="B5" s="15">
        <v>1</v>
      </c>
      <c r="C5" s="15" t="s">
        <v>245</v>
      </c>
      <c r="D5" s="15" t="s">
        <v>244</v>
      </c>
      <c r="E5" s="16"/>
    </row>
    <row r="6" spans="1:5" ht="34" x14ac:dyDescent="0.45">
      <c r="A6" s="15" t="str">
        <f t="shared" ref="A6:A10" si="0">DEC2HEX(HEX2DEC(A5)+B5)</f>
        <v>5002</v>
      </c>
      <c r="B6" s="15">
        <v>1</v>
      </c>
      <c r="C6" s="15" t="s">
        <v>246</v>
      </c>
      <c r="D6" s="15" t="s">
        <v>247</v>
      </c>
      <c r="E6" s="16"/>
    </row>
    <row r="7" spans="1:5" ht="221" x14ac:dyDescent="0.45">
      <c r="A7" s="15" t="str">
        <f t="shared" si="0"/>
        <v>5003</v>
      </c>
      <c r="B7" s="15">
        <v>1</v>
      </c>
      <c r="C7" s="15" t="s">
        <v>248</v>
      </c>
      <c r="D7" s="15" t="s">
        <v>249</v>
      </c>
      <c r="E7" s="16"/>
    </row>
    <row r="8" spans="1:5" customFormat="1" ht="68" x14ac:dyDescent="0.45">
      <c r="A8" s="15" t="str">
        <f t="shared" si="0"/>
        <v>5004</v>
      </c>
      <c r="B8" s="17">
        <v>1</v>
      </c>
      <c r="C8" s="15" t="s">
        <v>250</v>
      </c>
      <c r="D8" s="15" t="s">
        <v>251</v>
      </c>
      <c r="E8" s="16"/>
    </row>
    <row r="9" spans="1:5" s="80" customFormat="1" ht="34" x14ac:dyDescent="0.45">
      <c r="A9" s="78" t="str">
        <f t="shared" si="0"/>
        <v>5005</v>
      </c>
      <c r="B9" s="79">
        <v>1</v>
      </c>
      <c r="C9" s="81" t="s">
        <v>314</v>
      </c>
      <c r="D9" s="81" t="s">
        <v>313</v>
      </c>
      <c r="E9" s="78"/>
    </row>
    <row r="10" spans="1:5" customFormat="1" ht="17" x14ac:dyDescent="0.45">
      <c r="A10" s="54" t="str">
        <f t="shared" si="0"/>
        <v>5006</v>
      </c>
      <c r="B10" s="18">
        <v>250</v>
      </c>
      <c r="C10" s="16" t="s">
        <v>73</v>
      </c>
      <c r="D10" s="16"/>
      <c r="E10" s="16"/>
    </row>
    <row r="11" spans="1:5" s="10" customFormat="1" ht="17" x14ac:dyDescent="0.45">
      <c r="A11" s="16" t="str">
        <f>DEC2HEX(HEX2DEC(A10)+B10)</f>
        <v>5100</v>
      </c>
      <c r="B11" s="18">
        <v>1</v>
      </c>
      <c r="C11" s="19" t="s">
        <v>252</v>
      </c>
      <c r="D11" s="101" t="s">
        <v>253</v>
      </c>
      <c r="E11" s="21"/>
    </row>
    <row r="12" spans="1:5" s="10" customFormat="1" ht="17" x14ac:dyDescent="0.45">
      <c r="A12" s="19" t="str">
        <f t="shared" ref="A12:A30" si="1">DEC2HEX(HEX2DEC(A11)+B11)</f>
        <v>5101</v>
      </c>
      <c r="B12" s="18">
        <v>1</v>
      </c>
      <c r="C12" s="19" t="s">
        <v>254</v>
      </c>
      <c r="D12" s="101"/>
      <c r="E12" s="21"/>
    </row>
    <row r="13" spans="1:5" s="10" customFormat="1" ht="17" x14ac:dyDescent="0.45">
      <c r="A13" s="19" t="str">
        <f t="shared" si="1"/>
        <v>5102</v>
      </c>
      <c r="B13" s="18">
        <v>1</v>
      </c>
      <c r="C13" s="19" t="s">
        <v>255</v>
      </c>
      <c r="D13" s="101"/>
      <c r="E13" s="21"/>
    </row>
    <row r="14" spans="1:5" s="10" customFormat="1" ht="17" x14ac:dyDescent="0.45">
      <c r="A14" s="19" t="str">
        <f t="shared" si="1"/>
        <v>5103</v>
      </c>
      <c r="B14" s="18">
        <v>1</v>
      </c>
      <c r="C14" s="19" t="s">
        <v>256</v>
      </c>
      <c r="D14" s="101"/>
      <c r="E14" s="21"/>
    </row>
    <row r="15" spans="1:5" s="10" customFormat="1" ht="17" x14ac:dyDescent="0.45">
      <c r="A15" s="19" t="str">
        <f t="shared" si="1"/>
        <v>5104</v>
      </c>
      <c r="B15" s="18">
        <v>1</v>
      </c>
      <c r="C15" s="19" t="s">
        <v>257</v>
      </c>
      <c r="D15" s="101"/>
      <c r="E15" s="21"/>
    </row>
    <row r="16" spans="1:5" s="10" customFormat="1" ht="17" x14ac:dyDescent="0.45">
      <c r="A16" s="19" t="str">
        <f t="shared" si="1"/>
        <v>5105</v>
      </c>
      <c r="B16" s="18">
        <v>1</v>
      </c>
      <c r="C16" s="19" t="s">
        <v>258</v>
      </c>
      <c r="D16" s="101"/>
      <c r="E16" s="21"/>
    </row>
    <row r="17" spans="1:5" ht="17" x14ac:dyDescent="0.45">
      <c r="A17" s="16" t="str">
        <f t="shared" si="1"/>
        <v>5106</v>
      </c>
      <c r="B17" s="22">
        <v>1</v>
      </c>
      <c r="C17" s="16" t="s">
        <v>259</v>
      </c>
      <c r="D17" s="16" t="s">
        <v>260</v>
      </c>
      <c r="E17" s="102" t="s">
        <v>261</v>
      </c>
    </row>
    <row r="18" spans="1:5" ht="17" x14ac:dyDescent="0.45">
      <c r="A18" s="16" t="str">
        <f t="shared" si="1"/>
        <v>5107</v>
      </c>
      <c r="B18" s="22">
        <v>1</v>
      </c>
      <c r="C18" s="16" t="s">
        <v>262</v>
      </c>
      <c r="D18" s="16" t="s">
        <v>263</v>
      </c>
      <c r="E18" s="102"/>
    </row>
    <row r="19" spans="1:5" ht="17" x14ac:dyDescent="0.45">
      <c r="A19" s="16" t="str">
        <f t="shared" si="1"/>
        <v>5108</v>
      </c>
      <c r="B19" s="22">
        <v>1</v>
      </c>
      <c r="C19" s="16" t="s">
        <v>264</v>
      </c>
      <c r="D19" s="16" t="s">
        <v>265</v>
      </c>
      <c r="E19" s="102"/>
    </row>
    <row r="20" spans="1:5" ht="17" x14ac:dyDescent="0.45">
      <c r="A20" s="16" t="str">
        <f t="shared" si="1"/>
        <v>5109</v>
      </c>
      <c r="B20" s="22">
        <v>1</v>
      </c>
      <c r="C20" s="16" t="s">
        <v>266</v>
      </c>
      <c r="D20" s="16" t="s">
        <v>267</v>
      </c>
      <c r="E20" s="102"/>
    </row>
    <row r="21" spans="1:5" ht="17" x14ac:dyDescent="0.45">
      <c r="A21" s="16" t="str">
        <f t="shared" si="1"/>
        <v>510A</v>
      </c>
      <c r="B21" s="22">
        <v>1</v>
      </c>
      <c r="C21" s="16" t="s">
        <v>268</v>
      </c>
      <c r="D21" s="16" t="s">
        <v>269</v>
      </c>
      <c r="E21" s="102"/>
    </row>
    <row r="22" spans="1:5" ht="17" x14ac:dyDescent="0.45">
      <c r="A22" s="16" t="str">
        <f t="shared" si="1"/>
        <v>510B</v>
      </c>
      <c r="B22" s="22">
        <v>1</v>
      </c>
      <c r="C22" s="16" t="s">
        <v>270</v>
      </c>
      <c r="D22" s="16" t="s">
        <v>269</v>
      </c>
      <c r="E22" s="102"/>
    </row>
    <row r="23" spans="1:5" ht="17" x14ac:dyDescent="0.45">
      <c r="A23" s="16" t="str">
        <f t="shared" si="1"/>
        <v>510C</v>
      </c>
      <c r="B23" s="22">
        <v>1</v>
      </c>
      <c r="C23" s="16" t="s">
        <v>271</v>
      </c>
      <c r="D23" s="16" t="s">
        <v>269</v>
      </c>
      <c r="E23" s="102"/>
    </row>
    <row r="24" spans="1:5" ht="17" x14ac:dyDescent="0.45">
      <c r="A24" s="16" t="str">
        <f t="shared" si="1"/>
        <v>510D</v>
      </c>
      <c r="B24" s="22">
        <v>1</v>
      </c>
      <c r="C24" s="16" t="s">
        <v>272</v>
      </c>
      <c r="D24" s="16" t="s">
        <v>269</v>
      </c>
      <c r="E24" s="102"/>
    </row>
    <row r="25" spans="1:5" ht="17" x14ac:dyDescent="0.45">
      <c r="A25" s="16" t="str">
        <f t="shared" si="1"/>
        <v>510E</v>
      </c>
      <c r="B25" s="22">
        <v>1</v>
      </c>
      <c r="C25" s="16" t="s">
        <v>273</v>
      </c>
      <c r="D25" s="16" t="s">
        <v>260</v>
      </c>
      <c r="E25" s="102"/>
    </row>
    <row r="26" spans="1:5" ht="17" x14ac:dyDescent="0.45">
      <c r="A26" s="16" t="str">
        <f t="shared" si="1"/>
        <v>510F</v>
      </c>
      <c r="B26" s="22">
        <v>1</v>
      </c>
      <c r="C26" s="16" t="s">
        <v>274</v>
      </c>
      <c r="D26" s="16" t="s">
        <v>263</v>
      </c>
      <c r="E26" s="102"/>
    </row>
    <row r="27" spans="1:5" ht="17" x14ac:dyDescent="0.45">
      <c r="A27" s="16" t="str">
        <f t="shared" si="1"/>
        <v>5110</v>
      </c>
      <c r="B27" s="22">
        <v>1</v>
      </c>
      <c r="C27" s="16" t="s">
        <v>275</v>
      </c>
      <c r="D27" s="16" t="s">
        <v>265</v>
      </c>
      <c r="E27" s="102"/>
    </row>
    <row r="28" spans="1:5" ht="17" x14ac:dyDescent="0.45">
      <c r="A28" s="16" t="str">
        <f t="shared" si="1"/>
        <v>5111</v>
      </c>
      <c r="B28" s="22">
        <v>1</v>
      </c>
      <c r="C28" s="16" t="s">
        <v>276</v>
      </c>
      <c r="D28" s="16" t="s">
        <v>265</v>
      </c>
      <c r="E28" s="102"/>
    </row>
    <row r="29" spans="1:5" ht="34" x14ac:dyDescent="0.45">
      <c r="A29" s="16" t="str">
        <f t="shared" si="1"/>
        <v>5112</v>
      </c>
      <c r="B29" s="22">
        <v>1</v>
      </c>
      <c r="C29" s="16" t="s">
        <v>277</v>
      </c>
      <c r="D29" s="16" t="s">
        <v>278</v>
      </c>
      <c r="E29" s="23"/>
    </row>
    <row r="30" spans="1:5" s="10" customFormat="1" ht="17" x14ac:dyDescent="0.45">
      <c r="A30" s="19" t="str">
        <f t="shared" si="1"/>
        <v>5113</v>
      </c>
      <c r="B30" s="18">
        <v>1</v>
      </c>
      <c r="C30" s="19" t="s">
        <v>279</v>
      </c>
      <c r="D30" s="19" t="s">
        <v>280</v>
      </c>
      <c r="E30" s="24"/>
    </row>
  </sheetData>
  <sheetProtection formatCells="0" formatColumns="0" formatRows="0" insertColumns="0" insertRows="0" insertHyperlinks="0" deleteColumns="0" deleteRows="0" sort="0" autoFilter="0" pivotTables="0"/>
  <mergeCells count="4">
    <mergeCell ref="A1:D1"/>
    <mergeCell ref="A3:E3"/>
    <mergeCell ref="D11:D16"/>
    <mergeCell ref="E17:E28"/>
  </mergeCells>
  <phoneticPr fontId="30" type="noConversion"/>
  <pageMargins left="0.75196850393700798" right="0.75196850393700798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6"/>
  <sheetViews>
    <sheetView workbookViewId="0">
      <selection activeCell="N10" sqref="N10"/>
    </sheetView>
  </sheetViews>
  <sheetFormatPr defaultColWidth="8" defaultRowHeight="14" x14ac:dyDescent="0.45"/>
  <cols>
    <col min="1" max="16384" width="8" style="1"/>
  </cols>
  <sheetData>
    <row r="2" spans="1:11" ht="31" x14ac:dyDescent="0.45">
      <c r="A2" s="106" t="s">
        <v>281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</row>
    <row r="3" spans="1:11" x14ac:dyDescent="0.45">
      <c r="A3" s="5" t="s">
        <v>282</v>
      </c>
      <c r="B3" s="107" t="s">
        <v>283</v>
      </c>
      <c r="C3" s="107"/>
      <c r="D3" s="6" t="s">
        <v>284</v>
      </c>
      <c r="E3" s="6" t="s">
        <v>285</v>
      </c>
      <c r="F3" s="6" t="s">
        <v>286</v>
      </c>
      <c r="G3" s="6" t="s">
        <v>287</v>
      </c>
      <c r="H3" s="108" t="s">
        <v>288</v>
      </c>
      <c r="I3" s="108"/>
      <c r="J3" s="107" t="s">
        <v>289</v>
      </c>
      <c r="K3" s="107"/>
    </row>
    <row r="4" spans="1:11" ht="24" customHeight="1" x14ac:dyDescent="0.45">
      <c r="A4" s="104" t="s">
        <v>290</v>
      </c>
      <c r="B4" s="7" t="s">
        <v>291</v>
      </c>
      <c r="C4" s="7" t="s">
        <v>292</v>
      </c>
      <c r="D4" s="105" t="s">
        <v>293</v>
      </c>
      <c r="E4" s="105" t="s">
        <v>293</v>
      </c>
      <c r="F4" s="105" t="s">
        <v>294</v>
      </c>
      <c r="G4" s="105" t="s">
        <v>295</v>
      </c>
      <c r="H4" s="8"/>
      <c r="I4" s="8"/>
      <c r="J4" s="7" t="s">
        <v>296</v>
      </c>
      <c r="K4" s="7" t="s">
        <v>297</v>
      </c>
    </row>
    <row r="5" spans="1:11" ht="21" customHeight="1" x14ac:dyDescent="0.45">
      <c r="A5" s="104"/>
      <c r="B5" s="105" t="s">
        <v>298</v>
      </c>
      <c r="C5" s="105"/>
      <c r="D5" s="105"/>
      <c r="E5" s="105"/>
      <c r="F5" s="105"/>
      <c r="G5" s="105"/>
      <c r="H5" s="105" t="s">
        <v>298</v>
      </c>
      <c r="I5" s="105"/>
      <c r="J5" s="105" t="s">
        <v>298</v>
      </c>
      <c r="K5" s="105"/>
    </row>
    <row r="6" spans="1:11" ht="213.75" customHeight="1" x14ac:dyDescent="0.45">
      <c r="A6" s="103" t="s">
        <v>299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</row>
  </sheetData>
  <sheetProtection formatCells="0" formatColumns="0" formatRows="0" insertColumns="0" insertRows="0" insertHyperlinks="0" deleteColumns="0" deleteRows="0" sort="0" autoFilter="0" pivotTables="0"/>
  <mergeCells count="13">
    <mergeCell ref="A2:K2"/>
    <mergeCell ref="B3:C3"/>
    <mergeCell ref="H3:I3"/>
    <mergeCell ref="J3:K3"/>
    <mergeCell ref="B5:C5"/>
    <mergeCell ref="H5:I5"/>
    <mergeCell ref="J5:K5"/>
    <mergeCell ref="A6:K6"/>
    <mergeCell ref="A4:A5"/>
    <mergeCell ref="D4:D5"/>
    <mergeCell ref="E4:E5"/>
    <mergeCell ref="F4:F5"/>
    <mergeCell ref="G4:G5"/>
  </mergeCells>
  <phoneticPr fontId="30" type="noConversion"/>
  <pageMargins left="0.70078740157480301" right="0.70078740157480301" top="0.75196850393700798" bottom="0.75196850393700798" header="0.29921259842519699" footer="0.29921259842519699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19"/>
  <sheetViews>
    <sheetView workbookViewId="0">
      <selection activeCell="K17" sqref="K17"/>
    </sheetView>
  </sheetViews>
  <sheetFormatPr defaultColWidth="8" defaultRowHeight="14" x14ac:dyDescent="0.45"/>
  <cols>
    <col min="1" max="6" width="8" style="1"/>
    <col min="7" max="7" width="14.23046875" style="1" customWidth="1"/>
    <col min="8" max="8" width="14" style="1" customWidth="1"/>
    <col min="9" max="9" width="23.84375" style="1" customWidth="1"/>
    <col min="10" max="16384" width="8" style="1"/>
  </cols>
  <sheetData>
    <row r="2" spans="1:9" ht="52.5" customHeight="1" x14ac:dyDescent="0.45">
      <c r="A2" s="109" t="s">
        <v>300</v>
      </c>
      <c r="B2" s="110"/>
      <c r="C2" s="110"/>
      <c r="D2" s="110"/>
      <c r="E2" s="110"/>
      <c r="F2" s="110"/>
      <c r="G2" s="110"/>
      <c r="H2" s="110"/>
      <c r="I2" s="111"/>
    </row>
    <row r="3" spans="1:9" ht="31" x14ac:dyDescent="0.45">
      <c r="A3" s="112" t="s">
        <v>301</v>
      </c>
      <c r="B3" s="113"/>
      <c r="C3" s="113"/>
      <c r="D3" s="113"/>
      <c r="E3" s="113"/>
      <c r="F3" s="113"/>
      <c r="G3" s="113"/>
      <c r="H3" s="113"/>
      <c r="I3" s="114"/>
    </row>
    <row r="4" spans="1:9" ht="30" x14ac:dyDescent="0.45">
      <c r="A4" s="2" t="s">
        <v>285</v>
      </c>
      <c r="B4" s="3" t="s">
        <v>302</v>
      </c>
      <c r="C4" s="3" t="s">
        <v>303</v>
      </c>
      <c r="D4" s="3" t="s">
        <v>286</v>
      </c>
      <c r="E4" s="115" t="s">
        <v>304</v>
      </c>
      <c r="F4" s="116"/>
      <c r="G4" s="116"/>
      <c r="H4" s="116"/>
      <c r="I4" s="117"/>
    </row>
    <row r="5" spans="1:9" x14ac:dyDescent="0.45">
      <c r="A5" s="121" t="s">
        <v>305</v>
      </c>
      <c r="B5" s="124" t="s">
        <v>306</v>
      </c>
      <c r="C5" s="124" t="s">
        <v>307</v>
      </c>
      <c r="D5" s="127" t="s">
        <v>308</v>
      </c>
      <c r="E5" s="130" t="s">
        <v>309</v>
      </c>
      <c r="F5" s="131"/>
      <c r="G5" s="131"/>
      <c r="H5" s="131"/>
      <c r="I5" s="132"/>
    </row>
    <row r="6" spans="1:9" x14ac:dyDescent="0.45">
      <c r="A6" s="122"/>
      <c r="B6" s="125"/>
      <c r="C6" s="125"/>
      <c r="D6" s="128"/>
      <c r="E6" s="133"/>
      <c r="F6" s="134"/>
      <c r="G6" s="134"/>
      <c r="H6" s="134"/>
      <c r="I6" s="135"/>
    </row>
    <row r="7" spans="1:9" x14ac:dyDescent="0.45">
      <c r="A7" s="122"/>
      <c r="B7" s="125"/>
      <c r="C7" s="125"/>
      <c r="D7" s="128"/>
      <c r="E7" s="133"/>
      <c r="F7" s="134"/>
      <c r="G7" s="134"/>
      <c r="H7" s="134"/>
      <c r="I7" s="135"/>
    </row>
    <row r="8" spans="1:9" x14ac:dyDescent="0.45">
      <c r="A8" s="122"/>
      <c r="B8" s="125"/>
      <c r="C8" s="125"/>
      <c r="D8" s="128"/>
      <c r="E8" s="133"/>
      <c r="F8" s="134"/>
      <c r="G8" s="134"/>
      <c r="H8" s="134"/>
      <c r="I8" s="135"/>
    </row>
    <row r="9" spans="1:9" x14ac:dyDescent="0.45">
      <c r="A9" s="122"/>
      <c r="B9" s="125"/>
      <c r="C9" s="125"/>
      <c r="D9" s="128"/>
      <c r="E9" s="133"/>
      <c r="F9" s="134"/>
      <c r="G9" s="134"/>
      <c r="H9" s="134"/>
      <c r="I9" s="135"/>
    </row>
    <row r="10" spans="1:9" x14ac:dyDescent="0.45">
      <c r="A10" s="122"/>
      <c r="B10" s="125"/>
      <c r="C10" s="125"/>
      <c r="D10" s="128"/>
      <c r="E10" s="133"/>
      <c r="F10" s="134"/>
      <c r="G10" s="134"/>
      <c r="H10" s="134"/>
      <c r="I10" s="135"/>
    </row>
    <row r="11" spans="1:9" x14ac:dyDescent="0.45">
      <c r="A11" s="122"/>
      <c r="B11" s="125"/>
      <c r="C11" s="125"/>
      <c r="D11" s="128"/>
      <c r="E11" s="133"/>
      <c r="F11" s="134"/>
      <c r="G11" s="134"/>
      <c r="H11" s="134"/>
      <c r="I11" s="135"/>
    </row>
    <row r="12" spans="1:9" x14ac:dyDescent="0.45">
      <c r="A12" s="122"/>
      <c r="B12" s="125"/>
      <c r="C12" s="125"/>
      <c r="D12" s="128"/>
      <c r="E12" s="133"/>
      <c r="F12" s="134"/>
      <c r="G12" s="134"/>
      <c r="H12" s="134"/>
      <c r="I12" s="135"/>
    </row>
    <row r="13" spans="1:9" x14ac:dyDescent="0.45">
      <c r="A13" s="122"/>
      <c r="B13" s="125"/>
      <c r="C13" s="125"/>
      <c r="D13" s="128"/>
      <c r="E13" s="133"/>
      <c r="F13" s="134"/>
      <c r="G13" s="134"/>
      <c r="H13" s="134"/>
      <c r="I13" s="135"/>
    </row>
    <row r="14" spans="1:9" x14ac:dyDescent="0.45">
      <c r="A14" s="122"/>
      <c r="B14" s="125"/>
      <c r="C14" s="125"/>
      <c r="D14" s="128"/>
      <c r="E14" s="133"/>
      <c r="F14" s="134"/>
      <c r="G14" s="134"/>
      <c r="H14" s="134"/>
      <c r="I14" s="135"/>
    </row>
    <row r="15" spans="1:9" x14ac:dyDescent="0.45">
      <c r="A15" s="122"/>
      <c r="B15" s="125"/>
      <c r="C15" s="125"/>
      <c r="D15" s="128"/>
      <c r="E15" s="133"/>
      <c r="F15" s="134"/>
      <c r="G15" s="134"/>
      <c r="H15" s="134"/>
      <c r="I15" s="135"/>
    </row>
    <row r="16" spans="1:9" ht="108.75" customHeight="1" x14ac:dyDescent="0.45">
      <c r="A16" s="122"/>
      <c r="B16" s="125"/>
      <c r="C16" s="126"/>
      <c r="D16" s="129"/>
      <c r="E16" s="136"/>
      <c r="F16" s="137"/>
      <c r="G16" s="137"/>
      <c r="H16" s="137"/>
      <c r="I16" s="138"/>
    </row>
    <row r="17" spans="1:9" ht="237.75" customHeight="1" x14ac:dyDescent="0.45">
      <c r="A17" s="122"/>
      <c r="B17" s="125"/>
      <c r="C17" s="124" t="s">
        <v>310</v>
      </c>
      <c r="D17" s="4">
        <v>5</v>
      </c>
      <c r="E17" s="118" t="s">
        <v>311</v>
      </c>
      <c r="F17" s="119"/>
      <c r="G17" s="119"/>
      <c r="H17" s="119"/>
      <c r="I17" s="120"/>
    </row>
    <row r="18" spans="1:9" ht="81.75" customHeight="1" x14ac:dyDescent="0.45">
      <c r="A18" s="122"/>
      <c r="B18" s="125"/>
      <c r="C18" s="125"/>
      <c r="D18" s="127">
        <v>1</v>
      </c>
      <c r="E18" s="139" t="s">
        <v>312</v>
      </c>
      <c r="F18" s="140"/>
      <c r="G18" s="140"/>
      <c r="H18" s="140"/>
      <c r="I18" s="141"/>
    </row>
    <row r="19" spans="1:9" x14ac:dyDescent="0.45">
      <c r="A19" s="123"/>
      <c r="B19" s="126"/>
      <c r="C19" s="126"/>
      <c r="D19" s="129"/>
      <c r="E19" s="142"/>
      <c r="F19" s="143"/>
      <c r="G19" s="143"/>
      <c r="H19" s="143"/>
      <c r="I19" s="144"/>
    </row>
  </sheetData>
  <sheetProtection formatCells="0" formatColumns="0" formatRows="0" insertColumns="0" insertRows="0" insertHyperlinks="0" deleteColumns="0" deleteRows="0" sort="0" autoFilter="0" pivotTables="0"/>
  <mergeCells count="12">
    <mergeCell ref="A2:I2"/>
    <mergeCell ref="A3:I3"/>
    <mergeCell ref="E4:I4"/>
    <mergeCell ref="E17:I17"/>
    <mergeCell ref="A5:A19"/>
    <mergeCell ref="B5:B19"/>
    <mergeCell ref="C5:C16"/>
    <mergeCell ref="C17:C19"/>
    <mergeCell ref="D5:D16"/>
    <mergeCell ref="D18:D19"/>
    <mergeCell ref="E5:I16"/>
    <mergeCell ref="E18:I19"/>
  </mergeCells>
  <phoneticPr fontId="30" type="noConversion"/>
  <pageMargins left="0.70078740157480301" right="0.70078740157480301" top="0.75196850393700798" bottom="0.75196850393700798" header="0.29921259842519699" footer="0.29921259842519699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7"/>
  <pixelatorList sheetStid="8"/>
  <pixelatorList sheetStid="9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版本管理</vt:lpstr>
      <vt:lpstr>BMS汇总信息（只读）</vt:lpstr>
      <vt:lpstr>BMU信息（只读）</vt:lpstr>
      <vt:lpstr>生产信息（只读）</vt:lpstr>
      <vt:lpstr>控制（读写）</vt:lpstr>
      <vt:lpstr>升级帧结构定义</vt:lpstr>
      <vt:lpstr>0x50升级命令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weboffice</dc:creator>
  <cp:lastModifiedBy>yaoming yang</cp:lastModifiedBy>
  <dcterms:created xsi:type="dcterms:W3CDTF">2025-04-16T15:00:00Z</dcterms:created>
  <dcterms:modified xsi:type="dcterms:W3CDTF">2026-04-10T07:23:26Z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0B1EBEA37FC474EC9855FF67165BC524_41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